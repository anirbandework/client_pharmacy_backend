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25" i="1"/>
  <c r="M26"/>
  <c r="M27"/>
  <c r="M28"/>
  <c r="M29"/>
  <c r="M30"/>
  <c r="M31"/>
  <c r="M32"/>
  <c r="M33"/>
  <c r="M34"/>
  <c r="M35"/>
  <c r="M36"/>
  <c r="L25"/>
  <c r="L26"/>
  <c r="L27"/>
  <c r="L28"/>
  <c r="L29"/>
  <c r="L30"/>
  <c r="L31"/>
  <c r="L32"/>
  <c r="L33"/>
  <c r="L34"/>
  <c r="L35"/>
  <c r="L36"/>
  <c r="I25"/>
  <c r="I26"/>
  <c r="I27"/>
  <c r="I28"/>
  <c r="I29"/>
  <c r="I30"/>
  <c r="I31"/>
  <c r="I32"/>
  <c r="I33"/>
  <c r="I34"/>
  <c r="I35"/>
  <c r="I36"/>
  <c r="F25"/>
  <c r="F26"/>
  <c r="F27"/>
  <c r="F28"/>
  <c r="F29"/>
  <c r="F30"/>
  <c r="F31"/>
  <c r="F32"/>
  <c r="F33"/>
  <c r="F34"/>
  <c r="F35"/>
  <c r="F36"/>
  <c r="D25"/>
  <c r="D26"/>
  <c r="D27"/>
  <c r="D28"/>
  <c r="D29"/>
  <c r="D30"/>
  <c r="D31"/>
  <c r="D32"/>
  <c r="D33"/>
  <c r="D34"/>
  <c r="D35"/>
  <c r="D36"/>
  <c r="M8"/>
  <c r="M9"/>
  <c r="M10"/>
  <c r="M11"/>
  <c r="M12"/>
  <c r="M13"/>
  <c r="M14"/>
  <c r="M15"/>
  <c r="M16"/>
  <c r="M17"/>
  <c r="M18"/>
  <c r="M19"/>
  <c r="M20"/>
  <c r="M21"/>
  <c r="M22"/>
  <c r="M23"/>
  <c r="M24"/>
  <c r="L7"/>
  <c r="L8"/>
  <c r="D8" s="1"/>
  <c r="L9"/>
  <c r="D9" s="1"/>
  <c r="L10"/>
  <c r="L11"/>
  <c r="L12"/>
  <c r="D12" s="1"/>
  <c r="L13"/>
  <c r="D13" s="1"/>
  <c r="L14"/>
  <c r="L15"/>
  <c r="L16"/>
  <c r="D16" s="1"/>
  <c r="L17"/>
  <c r="D17" s="1"/>
  <c r="L18"/>
  <c r="L19"/>
  <c r="L20"/>
  <c r="D20" s="1"/>
  <c r="L21"/>
  <c r="D21" s="1"/>
  <c r="L22"/>
  <c r="L23"/>
  <c r="L24"/>
  <c r="D24" s="1"/>
  <c r="I8"/>
  <c r="I9"/>
  <c r="I10"/>
  <c r="I11"/>
  <c r="I12"/>
  <c r="I13"/>
  <c r="I14"/>
  <c r="I15"/>
  <c r="I16"/>
  <c r="I17"/>
  <c r="I18"/>
  <c r="I19"/>
  <c r="I20"/>
  <c r="I21"/>
  <c r="I22"/>
  <c r="I23"/>
  <c r="I24"/>
  <c r="F7"/>
  <c r="I7" s="1"/>
  <c r="F8"/>
  <c r="F9"/>
  <c r="F10"/>
  <c r="F11"/>
  <c r="F12"/>
  <c r="F13"/>
  <c r="F14"/>
  <c r="F15"/>
  <c r="F16"/>
  <c r="F17"/>
  <c r="F18"/>
  <c r="F19"/>
  <c r="F20"/>
  <c r="F21"/>
  <c r="F22"/>
  <c r="F23"/>
  <c r="F24"/>
  <c r="D10"/>
  <c r="D11"/>
  <c r="D14"/>
  <c r="D15"/>
  <c r="D18"/>
  <c r="D19"/>
  <c r="D22"/>
  <c r="D23"/>
  <c r="F6"/>
  <c r="I6" s="1"/>
  <c r="P3"/>
  <c r="L6"/>
  <c r="D6" s="1"/>
  <c r="M7" l="1"/>
  <c r="D7"/>
  <c r="M6"/>
</calcChain>
</file>

<file path=xl/sharedStrings.xml><?xml version="1.0" encoding="utf-8"?>
<sst xmlns="http://schemas.openxmlformats.org/spreadsheetml/2006/main" count="90" uniqueCount="53">
  <si>
    <t>Fill</t>
  </si>
  <si>
    <t>GMTR0003 business record - employee update sheet</t>
  </si>
  <si>
    <t>Date</t>
  </si>
  <si>
    <t>Day</t>
  </si>
  <si>
    <t>Cash
balance</t>
  </si>
  <si>
    <t>Average bill</t>
  </si>
  <si>
    <t>No.
of bills</t>
  </si>
  <si>
    <t>Cash</t>
  </si>
  <si>
    <t>Online</t>
  </si>
  <si>
    <t>Total sales</t>
  </si>
  <si>
    <t>Sales</t>
  </si>
  <si>
    <t>Difference</t>
  </si>
  <si>
    <t>Cash Reserve</t>
  </si>
  <si>
    <t>reserve balance</t>
  </si>
  <si>
    <t>Expense record</t>
  </si>
  <si>
    <t>Total Cash</t>
  </si>
  <si>
    <t>Actual Cash</t>
  </si>
  <si>
    <t>Unbilled</t>
  </si>
  <si>
    <t>Software fig.</t>
  </si>
  <si>
    <t>Recorded sales</t>
  </si>
  <si>
    <t>Comments</t>
  </si>
  <si>
    <t>Amount</t>
  </si>
  <si>
    <t>Monday</t>
  </si>
  <si>
    <t>Tuesday</t>
  </si>
  <si>
    <t>Wednesday</t>
  </si>
  <si>
    <t>Thursday</t>
  </si>
  <si>
    <t>Friday</t>
  </si>
  <si>
    <t>Saturday</t>
  </si>
  <si>
    <t>Sunday</t>
  </si>
  <si>
    <t>5 candles</t>
  </si>
  <si>
    <t>Average bil</t>
  </si>
  <si>
    <t xml:space="preserve">No of bills </t>
  </si>
  <si>
    <t>cash</t>
  </si>
  <si>
    <t xml:space="preserve">Total sales </t>
  </si>
  <si>
    <t>Software fig</t>
  </si>
  <si>
    <t xml:space="preserve">Sales record </t>
  </si>
  <si>
    <t>Cash reserve</t>
  </si>
  <si>
    <t>Total sales / No. of bills</t>
  </si>
  <si>
    <t xml:space="preserve">No. of bills sold </t>
  </si>
  <si>
    <t xml:space="preserve">Amount that is to be euqal to the difference of recorded sales and online amount </t>
  </si>
  <si>
    <t xml:space="preserve">bills of demonetisation of 500, 200 and 100 that deposited in bank </t>
  </si>
  <si>
    <t xml:space="preserve">actual cash from recorded sales </t>
  </si>
  <si>
    <t xml:space="preserve">actual cash and online sales </t>
  </si>
  <si>
    <t xml:space="preserve">some items are sold without billing due to stock errors </t>
  </si>
  <si>
    <t>Total sales value on software</t>
  </si>
  <si>
    <t xml:space="preserve">Software sales and unbilled amount </t>
  </si>
  <si>
    <t>recorded sales from total sales - needed to check cash variance</t>
  </si>
  <si>
    <t xml:space="preserve">10-20-50 rupees notes and coins that remain in the cash as change to sustain daily sales </t>
  </si>
  <si>
    <t xml:space="preserve">Reserve balance </t>
  </si>
  <si>
    <t xml:space="preserve">aggregate amount of cash reserve </t>
  </si>
  <si>
    <t xml:space="preserve">daily expense records </t>
  </si>
  <si>
    <t>Legend</t>
  </si>
  <si>
    <t>1 pen</t>
  </si>
</sst>
</file>

<file path=xl/styles.xml><?xml version="1.0" encoding="utf-8"?>
<styleSheet xmlns="http://schemas.openxmlformats.org/spreadsheetml/2006/main">
  <numFmts count="1">
    <numFmt numFmtId="169" formatCode="[$-409]d\-mmm\-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rgb="FFFF0000"/>
      <name val="Arial"/>
      <family val="2"/>
    </font>
    <font>
      <b/>
      <sz val="21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2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tabSelected="1" workbookViewId="0">
      <selection activeCell="O8" sqref="O8:P8"/>
    </sheetView>
  </sheetViews>
  <sheetFormatPr defaultRowHeight="15"/>
  <cols>
    <col min="1" max="1" width="13.85546875" style="23" customWidth="1"/>
    <col min="2" max="2" width="13.28515625" style="23" customWidth="1"/>
    <col min="3" max="3" width="16.85546875" style="23" customWidth="1"/>
    <col min="4" max="4" width="15.28515625" style="23" customWidth="1"/>
    <col min="5" max="5" width="9.140625" style="23"/>
    <col min="6" max="6" width="17" style="23" customWidth="1"/>
    <col min="7" max="7" width="20.5703125" style="23" customWidth="1"/>
    <col min="8" max="8" width="12.85546875" style="23" customWidth="1"/>
    <col min="9" max="9" width="15.7109375" style="23" customWidth="1"/>
    <col min="10" max="10" width="10.85546875" style="23" customWidth="1"/>
    <col min="11" max="11" width="16" style="23" customWidth="1"/>
    <col min="12" max="12" width="19.85546875" style="23" customWidth="1"/>
    <col min="13" max="13" width="13" style="23" customWidth="1"/>
    <col min="14" max="14" width="12.140625" style="23" customWidth="1"/>
    <col min="15" max="15" width="20.85546875" style="23" customWidth="1"/>
    <col min="16" max="16" width="10.140625" style="23" customWidth="1"/>
    <col min="17" max="17" width="19" style="23" customWidth="1"/>
    <col min="18" max="16384" width="9.140625" style="23"/>
  </cols>
  <sheetData>
    <row r="1" spans="1:17" ht="27" thickBot="1">
      <c r="A1" s="18"/>
      <c r="B1" s="19"/>
      <c r="C1" s="19"/>
      <c r="D1" s="20"/>
      <c r="E1" s="1" t="s">
        <v>0</v>
      </c>
      <c r="F1" s="21"/>
      <c r="G1" s="1" t="s">
        <v>0</v>
      </c>
      <c r="H1" s="1" t="s">
        <v>0</v>
      </c>
      <c r="I1" s="21"/>
      <c r="J1" s="1" t="s">
        <v>0</v>
      </c>
      <c r="K1" s="1" t="s">
        <v>0</v>
      </c>
      <c r="L1" s="22"/>
      <c r="M1" s="21"/>
      <c r="N1" s="1" t="s">
        <v>0</v>
      </c>
      <c r="O1" s="18"/>
      <c r="P1" s="20"/>
      <c r="Q1" s="1" t="s">
        <v>0</v>
      </c>
    </row>
    <row r="2" spans="1:17" ht="27.75" thickBo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ht="28.5" customHeight="1" thickBo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9" t="s">
        <v>7</v>
      </c>
      <c r="G3" s="10"/>
      <c r="H3" s="7" t="s">
        <v>8</v>
      </c>
      <c r="I3" s="7" t="s">
        <v>9</v>
      </c>
      <c r="J3" s="9" t="s">
        <v>10</v>
      </c>
      <c r="K3" s="11"/>
      <c r="L3" s="10"/>
      <c r="M3" s="7" t="s">
        <v>11</v>
      </c>
      <c r="N3" s="7" t="s">
        <v>12</v>
      </c>
      <c r="O3" s="2" t="s">
        <v>13</v>
      </c>
      <c r="P3" s="2">
        <f>SUM(N6:N36)</f>
        <v>18</v>
      </c>
      <c r="Q3" s="3" t="s">
        <v>14</v>
      </c>
    </row>
    <row r="4" spans="1:17" ht="22.5" customHeight="1">
      <c r="A4" s="8"/>
      <c r="B4" s="8"/>
      <c r="C4" s="8"/>
      <c r="D4" s="8"/>
      <c r="E4" s="8"/>
      <c r="F4" s="7" t="s">
        <v>15</v>
      </c>
      <c r="G4" s="7" t="s">
        <v>16</v>
      </c>
      <c r="H4" s="8"/>
      <c r="I4" s="8"/>
      <c r="J4" s="7" t="s">
        <v>17</v>
      </c>
      <c r="K4" s="7" t="s">
        <v>18</v>
      </c>
      <c r="L4" s="7" t="s">
        <v>19</v>
      </c>
      <c r="M4" s="8"/>
      <c r="N4" s="8"/>
      <c r="O4" s="12" t="s">
        <v>20</v>
      </c>
      <c r="P4" s="13"/>
      <c r="Q4" s="14" t="s">
        <v>21</v>
      </c>
    </row>
    <row r="5" spans="1:17" hidden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5"/>
      <c r="P5" s="16"/>
      <c r="Q5" s="17"/>
    </row>
    <row r="6" spans="1:17">
      <c r="A6" s="25">
        <v>46055</v>
      </c>
      <c r="B6" s="24" t="s">
        <v>22</v>
      </c>
      <c r="C6" s="24">
        <v>1000</v>
      </c>
      <c r="D6" s="24">
        <f>L6/E6</f>
        <v>40</v>
      </c>
      <c r="E6" s="24">
        <v>5</v>
      </c>
      <c r="F6" s="24">
        <f>SUM(G6+N6+Q6)</f>
        <v>170</v>
      </c>
      <c r="G6" s="24">
        <v>150</v>
      </c>
      <c r="H6" s="24">
        <v>30</v>
      </c>
      <c r="I6" s="24">
        <f>H6+F6</f>
        <v>200</v>
      </c>
      <c r="J6" s="24">
        <v>50</v>
      </c>
      <c r="K6" s="24">
        <v>150</v>
      </c>
      <c r="L6" s="24">
        <f>J6+K6</f>
        <v>200</v>
      </c>
      <c r="M6" s="24">
        <f>I6-L6</f>
        <v>0</v>
      </c>
      <c r="N6" s="24">
        <v>15</v>
      </c>
      <c r="O6" s="26" t="s">
        <v>29</v>
      </c>
      <c r="P6" s="27"/>
      <c r="Q6" s="24">
        <v>5</v>
      </c>
    </row>
    <row r="7" spans="1:17">
      <c r="A7" s="25">
        <v>46056</v>
      </c>
      <c r="B7" s="24" t="s">
        <v>23</v>
      </c>
      <c r="C7" s="24">
        <v>1000</v>
      </c>
      <c r="D7" s="24">
        <f t="shared" ref="D7:D36" si="0">L7/E7</f>
        <v>59.571428571428569</v>
      </c>
      <c r="E7" s="24">
        <v>7</v>
      </c>
      <c r="F7" s="24">
        <f t="shared" ref="F7:F36" si="1">SUM(G7+N7+Q7)</f>
        <v>154</v>
      </c>
      <c r="G7" s="24">
        <v>150</v>
      </c>
      <c r="H7" s="24">
        <v>263</v>
      </c>
      <c r="I7" s="24">
        <f t="shared" ref="I7:I36" si="2">H7+F7</f>
        <v>417</v>
      </c>
      <c r="J7" s="24">
        <v>31</v>
      </c>
      <c r="K7" s="24">
        <v>386</v>
      </c>
      <c r="L7" s="24">
        <f t="shared" ref="L7:L36" si="3">J7+K7</f>
        <v>417</v>
      </c>
      <c r="M7" s="24">
        <f t="shared" ref="M7:M36" si="4">I7-L7</f>
        <v>0</v>
      </c>
      <c r="N7" s="24">
        <v>3</v>
      </c>
      <c r="O7" s="26" t="s">
        <v>52</v>
      </c>
      <c r="P7" s="27"/>
      <c r="Q7" s="24">
        <v>1</v>
      </c>
    </row>
    <row r="8" spans="1:17">
      <c r="A8" s="25">
        <v>46057</v>
      </c>
      <c r="B8" s="24" t="s">
        <v>24</v>
      </c>
      <c r="C8" s="24">
        <v>1000</v>
      </c>
      <c r="D8" s="24" t="e">
        <f t="shared" si="0"/>
        <v>#DIV/0!</v>
      </c>
      <c r="E8" s="24"/>
      <c r="F8" s="24">
        <f t="shared" si="1"/>
        <v>0</v>
      </c>
      <c r="G8" s="24"/>
      <c r="H8" s="24"/>
      <c r="I8" s="24">
        <f t="shared" si="2"/>
        <v>0</v>
      </c>
      <c r="J8" s="24"/>
      <c r="K8" s="24"/>
      <c r="L8" s="24">
        <f t="shared" si="3"/>
        <v>0</v>
      </c>
      <c r="M8" s="24">
        <f t="shared" si="4"/>
        <v>0</v>
      </c>
      <c r="N8" s="24"/>
      <c r="O8" s="26"/>
      <c r="P8" s="27"/>
      <c r="Q8" s="24"/>
    </row>
    <row r="9" spans="1:17">
      <c r="A9" s="25">
        <v>46058</v>
      </c>
      <c r="B9" s="24" t="s">
        <v>25</v>
      </c>
      <c r="C9" s="24">
        <v>1000</v>
      </c>
      <c r="D9" s="24" t="e">
        <f t="shared" si="0"/>
        <v>#DIV/0!</v>
      </c>
      <c r="E9" s="24"/>
      <c r="F9" s="24">
        <f t="shared" si="1"/>
        <v>0</v>
      </c>
      <c r="G9" s="24"/>
      <c r="H9" s="24"/>
      <c r="I9" s="24">
        <f t="shared" si="2"/>
        <v>0</v>
      </c>
      <c r="J9" s="24"/>
      <c r="K9" s="24"/>
      <c r="L9" s="24">
        <f t="shared" si="3"/>
        <v>0</v>
      </c>
      <c r="M9" s="24">
        <f t="shared" si="4"/>
        <v>0</v>
      </c>
      <c r="N9" s="24"/>
      <c r="O9" s="26"/>
      <c r="P9" s="27"/>
      <c r="Q9" s="24"/>
    </row>
    <row r="10" spans="1:17">
      <c r="A10" s="25">
        <v>46059</v>
      </c>
      <c r="B10" s="24" t="s">
        <v>26</v>
      </c>
      <c r="C10" s="24">
        <v>1000</v>
      </c>
      <c r="D10" s="24" t="e">
        <f t="shared" si="0"/>
        <v>#DIV/0!</v>
      </c>
      <c r="E10" s="24"/>
      <c r="F10" s="24">
        <f t="shared" si="1"/>
        <v>0</v>
      </c>
      <c r="G10" s="24"/>
      <c r="H10" s="24"/>
      <c r="I10" s="24">
        <f t="shared" si="2"/>
        <v>0</v>
      </c>
      <c r="J10" s="24"/>
      <c r="K10" s="24"/>
      <c r="L10" s="24">
        <f t="shared" si="3"/>
        <v>0</v>
      </c>
      <c r="M10" s="24">
        <f t="shared" si="4"/>
        <v>0</v>
      </c>
      <c r="N10" s="24"/>
      <c r="O10" s="26"/>
      <c r="P10" s="27"/>
      <c r="Q10" s="24"/>
    </row>
    <row r="11" spans="1:17">
      <c r="A11" s="25">
        <v>46060</v>
      </c>
      <c r="B11" s="24" t="s">
        <v>27</v>
      </c>
      <c r="C11" s="24">
        <v>1000</v>
      </c>
      <c r="D11" s="24" t="e">
        <f t="shared" si="0"/>
        <v>#DIV/0!</v>
      </c>
      <c r="E11" s="24"/>
      <c r="F11" s="24">
        <f t="shared" si="1"/>
        <v>0</v>
      </c>
      <c r="G11" s="24"/>
      <c r="H11" s="24"/>
      <c r="I11" s="24">
        <f t="shared" si="2"/>
        <v>0</v>
      </c>
      <c r="J11" s="24"/>
      <c r="K11" s="24"/>
      <c r="L11" s="24">
        <f t="shared" si="3"/>
        <v>0</v>
      </c>
      <c r="M11" s="24">
        <f t="shared" si="4"/>
        <v>0</v>
      </c>
      <c r="N11" s="24"/>
      <c r="O11" s="26"/>
      <c r="P11" s="27"/>
      <c r="Q11" s="24"/>
    </row>
    <row r="12" spans="1:17">
      <c r="A12" s="25">
        <v>46061</v>
      </c>
      <c r="B12" s="24" t="s">
        <v>28</v>
      </c>
      <c r="C12" s="24">
        <v>1000</v>
      </c>
      <c r="D12" s="24" t="e">
        <f t="shared" si="0"/>
        <v>#DIV/0!</v>
      </c>
      <c r="E12" s="24"/>
      <c r="F12" s="24">
        <f t="shared" si="1"/>
        <v>0</v>
      </c>
      <c r="G12" s="24"/>
      <c r="H12" s="24"/>
      <c r="I12" s="24">
        <f t="shared" si="2"/>
        <v>0</v>
      </c>
      <c r="J12" s="24"/>
      <c r="K12" s="24"/>
      <c r="L12" s="24">
        <f t="shared" si="3"/>
        <v>0</v>
      </c>
      <c r="M12" s="24">
        <f t="shared" si="4"/>
        <v>0</v>
      </c>
      <c r="N12" s="24"/>
      <c r="O12" s="26"/>
      <c r="P12" s="27"/>
      <c r="Q12" s="24"/>
    </row>
    <row r="13" spans="1:17">
      <c r="A13" s="25">
        <v>46062</v>
      </c>
      <c r="B13" s="24" t="s">
        <v>22</v>
      </c>
      <c r="C13" s="24">
        <v>1000</v>
      </c>
      <c r="D13" s="24" t="e">
        <f t="shared" si="0"/>
        <v>#DIV/0!</v>
      </c>
      <c r="E13" s="24"/>
      <c r="F13" s="24">
        <f t="shared" si="1"/>
        <v>0</v>
      </c>
      <c r="G13" s="24"/>
      <c r="H13" s="24"/>
      <c r="I13" s="24">
        <f t="shared" si="2"/>
        <v>0</v>
      </c>
      <c r="J13" s="24"/>
      <c r="K13" s="24"/>
      <c r="L13" s="24">
        <f t="shared" si="3"/>
        <v>0</v>
      </c>
      <c r="M13" s="24">
        <f t="shared" si="4"/>
        <v>0</v>
      </c>
      <c r="N13" s="24"/>
      <c r="O13" s="26"/>
      <c r="P13" s="27"/>
      <c r="Q13" s="24"/>
    </row>
    <row r="14" spans="1:17">
      <c r="A14" s="25">
        <v>46063</v>
      </c>
      <c r="B14" s="24" t="s">
        <v>23</v>
      </c>
      <c r="C14" s="24">
        <v>1000</v>
      </c>
      <c r="D14" s="24" t="e">
        <f t="shared" si="0"/>
        <v>#DIV/0!</v>
      </c>
      <c r="E14" s="24"/>
      <c r="F14" s="24">
        <f t="shared" si="1"/>
        <v>0</v>
      </c>
      <c r="G14" s="24"/>
      <c r="H14" s="24"/>
      <c r="I14" s="24">
        <f t="shared" si="2"/>
        <v>0</v>
      </c>
      <c r="J14" s="24"/>
      <c r="K14" s="24"/>
      <c r="L14" s="24">
        <f t="shared" si="3"/>
        <v>0</v>
      </c>
      <c r="M14" s="24">
        <f t="shared" si="4"/>
        <v>0</v>
      </c>
      <c r="N14" s="24"/>
      <c r="O14" s="26"/>
      <c r="P14" s="27"/>
      <c r="Q14" s="24"/>
    </row>
    <row r="15" spans="1:17">
      <c r="A15" s="25">
        <v>46064</v>
      </c>
      <c r="B15" s="24" t="s">
        <v>24</v>
      </c>
      <c r="C15" s="24">
        <v>1000</v>
      </c>
      <c r="D15" s="24" t="e">
        <f t="shared" si="0"/>
        <v>#DIV/0!</v>
      </c>
      <c r="E15" s="24"/>
      <c r="F15" s="24">
        <f t="shared" si="1"/>
        <v>0</v>
      </c>
      <c r="G15" s="24"/>
      <c r="H15" s="24"/>
      <c r="I15" s="24">
        <f t="shared" si="2"/>
        <v>0</v>
      </c>
      <c r="J15" s="24"/>
      <c r="K15" s="24"/>
      <c r="L15" s="24">
        <f t="shared" si="3"/>
        <v>0</v>
      </c>
      <c r="M15" s="24">
        <f t="shared" si="4"/>
        <v>0</v>
      </c>
      <c r="N15" s="24"/>
      <c r="O15" s="26"/>
      <c r="P15" s="27"/>
      <c r="Q15" s="24"/>
    </row>
    <row r="16" spans="1:17">
      <c r="A16" s="25">
        <v>46065</v>
      </c>
      <c r="B16" s="24" t="s">
        <v>25</v>
      </c>
      <c r="C16" s="24">
        <v>1000</v>
      </c>
      <c r="D16" s="24" t="e">
        <f t="shared" si="0"/>
        <v>#DIV/0!</v>
      </c>
      <c r="E16" s="24"/>
      <c r="F16" s="24">
        <f t="shared" si="1"/>
        <v>0</v>
      </c>
      <c r="G16" s="24"/>
      <c r="H16" s="24"/>
      <c r="I16" s="24">
        <f t="shared" si="2"/>
        <v>0</v>
      </c>
      <c r="J16" s="24"/>
      <c r="K16" s="24"/>
      <c r="L16" s="24">
        <f t="shared" si="3"/>
        <v>0</v>
      </c>
      <c r="M16" s="24">
        <f t="shared" si="4"/>
        <v>0</v>
      </c>
      <c r="N16" s="24"/>
      <c r="O16" s="26"/>
      <c r="P16" s="27"/>
      <c r="Q16" s="24"/>
    </row>
    <row r="17" spans="1:17">
      <c r="A17" s="25">
        <v>46066</v>
      </c>
      <c r="B17" s="24" t="s">
        <v>26</v>
      </c>
      <c r="C17" s="24">
        <v>1000</v>
      </c>
      <c r="D17" s="24" t="e">
        <f t="shared" si="0"/>
        <v>#DIV/0!</v>
      </c>
      <c r="E17" s="24"/>
      <c r="F17" s="24">
        <f t="shared" si="1"/>
        <v>0</v>
      </c>
      <c r="G17" s="24"/>
      <c r="H17" s="24"/>
      <c r="I17" s="24">
        <f t="shared" si="2"/>
        <v>0</v>
      </c>
      <c r="J17" s="24"/>
      <c r="K17" s="24"/>
      <c r="L17" s="24">
        <f t="shared" si="3"/>
        <v>0</v>
      </c>
      <c r="M17" s="24">
        <f t="shared" si="4"/>
        <v>0</v>
      </c>
      <c r="N17" s="24"/>
      <c r="O17" s="26"/>
      <c r="P17" s="27"/>
      <c r="Q17" s="24"/>
    </row>
    <row r="18" spans="1:17">
      <c r="A18" s="25">
        <v>46067</v>
      </c>
      <c r="B18" s="24" t="s">
        <v>27</v>
      </c>
      <c r="C18" s="24">
        <v>1000</v>
      </c>
      <c r="D18" s="24" t="e">
        <f t="shared" si="0"/>
        <v>#DIV/0!</v>
      </c>
      <c r="E18" s="24"/>
      <c r="F18" s="24">
        <f t="shared" si="1"/>
        <v>0</v>
      </c>
      <c r="G18" s="24"/>
      <c r="H18" s="24"/>
      <c r="I18" s="24">
        <f t="shared" si="2"/>
        <v>0</v>
      </c>
      <c r="J18" s="24"/>
      <c r="K18" s="24"/>
      <c r="L18" s="24">
        <f t="shared" si="3"/>
        <v>0</v>
      </c>
      <c r="M18" s="24">
        <f t="shared" si="4"/>
        <v>0</v>
      </c>
      <c r="N18" s="24"/>
      <c r="O18" s="26"/>
      <c r="P18" s="27"/>
      <c r="Q18" s="24"/>
    </row>
    <row r="19" spans="1:17">
      <c r="A19" s="25">
        <v>46068</v>
      </c>
      <c r="B19" s="24" t="s">
        <v>28</v>
      </c>
      <c r="C19" s="24">
        <v>1000</v>
      </c>
      <c r="D19" s="24" t="e">
        <f t="shared" si="0"/>
        <v>#DIV/0!</v>
      </c>
      <c r="E19" s="24"/>
      <c r="F19" s="24">
        <f t="shared" si="1"/>
        <v>0</v>
      </c>
      <c r="G19" s="24"/>
      <c r="H19" s="24"/>
      <c r="I19" s="24">
        <f t="shared" si="2"/>
        <v>0</v>
      </c>
      <c r="J19" s="24"/>
      <c r="K19" s="24"/>
      <c r="L19" s="24">
        <f t="shared" si="3"/>
        <v>0</v>
      </c>
      <c r="M19" s="24">
        <f t="shared" si="4"/>
        <v>0</v>
      </c>
      <c r="N19" s="24"/>
      <c r="O19" s="26"/>
      <c r="P19" s="27"/>
      <c r="Q19" s="24"/>
    </row>
    <row r="20" spans="1:17">
      <c r="A20" s="25">
        <v>46069</v>
      </c>
      <c r="B20" s="24" t="s">
        <v>22</v>
      </c>
      <c r="C20" s="24">
        <v>1000</v>
      </c>
      <c r="D20" s="24" t="e">
        <f t="shared" si="0"/>
        <v>#DIV/0!</v>
      </c>
      <c r="E20" s="24"/>
      <c r="F20" s="24">
        <f t="shared" si="1"/>
        <v>0</v>
      </c>
      <c r="G20" s="24"/>
      <c r="H20" s="24"/>
      <c r="I20" s="24">
        <f t="shared" si="2"/>
        <v>0</v>
      </c>
      <c r="J20" s="24"/>
      <c r="K20" s="24"/>
      <c r="L20" s="24">
        <f t="shared" si="3"/>
        <v>0</v>
      </c>
      <c r="M20" s="24">
        <f t="shared" si="4"/>
        <v>0</v>
      </c>
      <c r="N20" s="24"/>
      <c r="O20" s="26"/>
      <c r="P20" s="27"/>
      <c r="Q20" s="24"/>
    </row>
    <row r="21" spans="1:17">
      <c r="A21" s="25">
        <v>46070</v>
      </c>
      <c r="B21" s="24" t="s">
        <v>23</v>
      </c>
      <c r="C21" s="24">
        <v>1000</v>
      </c>
      <c r="D21" s="24" t="e">
        <f t="shared" si="0"/>
        <v>#DIV/0!</v>
      </c>
      <c r="E21" s="24"/>
      <c r="F21" s="24">
        <f t="shared" si="1"/>
        <v>0</v>
      </c>
      <c r="G21" s="24"/>
      <c r="H21" s="24"/>
      <c r="I21" s="24">
        <f t="shared" si="2"/>
        <v>0</v>
      </c>
      <c r="J21" s="24"/>
      <c r="K21" s="24"/>
      <c r="L21" s="24">
        <f t="shared" si="3"/>
        <v>0</v>
      </c>
      <c r="M21" s="24">
        <f t="shared" si="4"/>
        <v>0</v>
      </c>
      <c r="N21" s="24"/>
      <c r="O21" s="26"/>
      <c r="P21" s="27"/>
      <c r="Q21" s="24"/>
    </row>
    <row r="22" spans="1:17">
      <c r="A22" s="25">
        <v>46071</v>
      </c>
      <c r="B22" s="24" t="s">
        <v>24</v>
      </c>
      <c r="C22" s="24">
        <v>1000</v>
      </c>
      <c r="D22" s="24" t="e">
        <f t="shared" si="0"/>
        <v>#DIV/0!</v>
      </c>
      <c r="E22" s="24"/>
      <c r="F22" s="24">
        <f t="shared" si="1"/>
        <v>0</v>
      </c>
      <c r="G22" s="24"/>
      <c r="H22" s="24"/>
      <c r="I22" s="24">
        <f t="shared" si="2"/>
        <v>0</v>
      </c>
      <c r="J22" s="24"/>
      <c r="K22" s="24"/>
      <c r="L22" s="24">
        <f t="shared" si="3"/>
        <v>0</v>
      </c>
      <c r="M22" s="24">
        <f t="shared" si="4"/>
        <v>0</v>
      </c>
      <c r="N22" s="24"/>
      <c r="O22" s="26"/>
      <c r="P22" s="27"/>
      <c r="Q22" s="24"/>
    </row>
    <row r="23" spans="1:17">
      <c r="A23" s="25">
        <v>46072</v>
      </c>
      <c r="B23" s="24" t="s">
        <v>25</v>
      </c>
      <c r="C23" s="24">
        <v>1000</v>
      </c>
      <c r="D23" s="24" t="e">
        <f t="shared" si="0"/>
        <v>#DIV/0!</v>
      </c>
      <c r="E23" s="24"/>
      <c r="F23" s="24">
        <f t="shared" si="1"/>
        <v>0</v>
      </c>
      <c r="G23" s="24"/>
      <c r="H23" s="24"/>
      <c r="I23" s="24">
        <f t="shared" si="2"/>
        <v>0</v>
      </c>
      <c r="J23" s="24"/>
      <c r="K23" s="24"/>
      <c r="L23" s="24">
        <f t="shared" si="3"/>
        <v>0</v>
      </c>
      <c r="M23" s="24">
        <f t="shared" si="4"/>
        <v>0</v>
      </c>
      <c r="N23" s="24"/>
      <c r="O23" s="26"/>
      <c r="P23" s="27"/>
      <c r="Q23" s="24"/>
    </row>
    <row r="24" spans="1:17">
      <c r="A24" s="25">
        <v>46073</v>
      </c>
      <c r="B24" s="24" t="s">
        <v>26</v>
      </c>
      <c r="C24" s="24">
        <v>1000</v>
      </c>
      <c r="D24" s="24" t="e">
        <f t="shared" si="0"/>
        <v>#DIV/0!</v>
      </c>
      <c r="E24" s="24"/>
      <c r="F24" s="24">
        <f t="shared" si="1"/>
        <v>0</v>
      </c>
      <c r="G24" s="24"/>
      <c r="H24" s="24"/>
      <c r="I24" s="24">
        <f t="shared" si="2"/>
        <v>0</v>
      </c>
      <c r="J24" s="24"/>
      <c r="K24" s="24"/>
      <c r="L24" s="24">
        <f t="shared" si="3"/>
        <v>0</v>
      </c>
      <c r="M24" s="24">
        <f t="shared" si="4"/>
        <v>0</v>
      </c>
      <c r="N24" s="24"/>
      <c r="O24" s="26"/>
      <c r="P24" s="27"/>
      <c r="Q24" s="24"/>
    </row>
    <row r="25" spans="1:17">
      <c r="A25" s="25">
        <v>46074</v>
      </c>
      <c r="B25" s="24" t="s">
        <v>27</v>
      </c>
      <c r="C25" s="24">
        <v>1000</v>
      </c>
      <c r="D25" s="24" t="e">
        <f t="shared" si="0"/>
        <v>#DIV/0!</v>
      </c>
      <c r="E25" s="24"/>
      <c r="F25" s="24">
        <f t="shared" si="1"/>
        <v>0</v>
      </c>
      <c r="G25" s="24"/>
      <c r="H25" s="24"/>
      <c r="I25" s="24">
        <f t="shared" si="2"/>
        <v>0</v>
      </c>
      <c r="J25" s="24"/>
      <c r="K25" s="24"/>
      <c r="L25" s="24">
        <f t="shared" si="3"/>
        <v>0</v>
      </c>
      <c r="M25" s="24">
        <f t="shared" si="4"/>
        <v>0</v>
      </c>
      <c r="N25" s="24"/>
      <c r="O25" s="26"/>
      <c r="P25" s="27"/>
      <c r="Q25" s="24"/>
    </row>
    <row r="26" spans="1:17">
      <c r="A26" s="25">
        <v>46075</v>
      </c>
      <c r="B26" s="24" t="s">
        <v>28</v>
      </c>
      <c r="C26" s="24">
        <v>1000</v>
      </c>
      <c r="D26" s="24" t="e">
        <f t="shared" si="0"/>
        <v>#DIV/0!</v>
      </c>
      <c r="E26" s="24"/>
      <c r="F26" s="24">
        <f t="shared" si="1"/>
        <v>0</v>
      </c>
      <c r="G26" s="24"/>
      <c r="H26" s="24"/>
      <c r="I26" s="24">
        <f t="shared" si="2"/>
        <v>0</v>
      </c>
      <c r="J26" s="24"/>
      <c r="K26" s="24"/>
      <c r="L26" s="24">
        <f t="shared" si="3"/>
        <v>0</v>
      </c>
      <c r="M26" s="24">
        <f t="shared" si="4"/>
        <v>0</v>
      </c>
      <c r="N26" s="24"/>
      <c r="O26" s="26"/>
      <c r="P26" s="27"/>
      <c r="Q26" s="24"/>
    </row>
    <row r="27" spans="1:17">
      <c r="A27" s="25">
        <v>46076</v>
      </c>
      <c r="B27" s="24" t="s">
        <v>22</v>
      </c>
      <c r="C27" s="24">
        <v>1000</v>
      </c>
      <c r="D27" s="24" t="e">
        <f t="shared" si="0"/>
        <v>#DIV/0!</v>
      </c>
      <c r="E27" s="24"/>
      <c r="F27" s="24">
        <f t="shared" si="1"/>
        <v>0</v>
      </c>
      <c r="G27" s="24"/>
      <c r="H27" s="24"/>
      <c r="I27" s="24">
        <f t="shared" si="2"/>
        <v>0</v>
      </c>
      <c r="J27" s="24"/>
      <c r="K27" s="24"/>
      <c r="L27" s="24">
        <f t="shared" si="3"/>
        <v>0</v>
      </c>
      <c r="M27" s="24">
        <f t="shared" si="4"/>
        <v>0</v>
      </c>
      <c r="N27" s="24"/>
      <c r="O27" s="26"/>
      <c r="P27" s="27"/>
      <c r="Q27" s="24"/>
    </row>
    <row r="28" spans="1:17">
      <c r="A28" s="25">
        <v>46077</v>
      </c>
      <c r="B28" s="24" t="s">
        <v>23</v>
      </c>
      <c r="C28" s="24">
        <v>1000</v>
      </c>
      <c r="D28" s="24" t="e">
        <f t="shared" si="0"/>
        <v>#DIV/0!</v>
      </c>
      <c r="E28" s="24"/>
      <c r="F28" s="24">
        <f t="shared" si="1"/>
        <v>0</v>
      </c>
      <c r="G28" s="24"/>
      <c r="H28" s="24"/>
      <c r="I28" s="24">
        <f t="shared" si="2"/>
        <v>0</v>
      </c>
      <c r="J28" s="24"/>
      <c r="K28" s="24"/>
      <c r="L28" s="24">
        <f t="shared" si="3"/>
        <v>0</v>
      </c>
      <c r="M28" s="24">
        <f t="shared" si="4"/>
        <v>0</v>
      </c>
      <c r="N28" s="24"/>
      <c r="O28" s="26"/>
      <c r="P28" s="27"/>
      <c r="Q28" s="24"/>
    </row>
    <row r="29" spans="1:17">
      <c r="A29" s="25">
        <v>46078</v>
      </c>
      <c r="B29" s="24" t="s">
        <v>24</v>
      </c>
      <c r="C29" s="24">
        <v>1000</v>
      </c>
      <c r="D29" s="24" t="e">
        <f t="shared" si="0"/>
        <v>#DIV/0!</v>
      </c>
      <c r="E29" s="24"/>
      <c r="F29" s="24">
        <f t="shared" si="1"/>
        <v>0</v>
      </c>
      <c r="G29" s="24"/>
      <c r="H29" s="24"/>
      <c r="I29" s="24">
        <f t="shared" si="2"/>
        <v>0</v>
      </c>
      <c r="J29" s="24"/>
      <c r="K29" s="24"/>
      <c r="L29" s="24">
        <f t="shared" si="3"/>
        <v>0</v>
      </c>
      <c r="M29" s="24">
        <f t="shared" si="4"/>
        <v>0</v>
      </c>
      <c r="N29" s="24"/>
      <c r="O29" s="26"/>
      <c r="P29" s="27"/>
      <c r="Q29" s="24"/>
    </row>
    <row r="30" spans="1:17">
      <c r="A30" s="25">
        <v>46079</v>
      </c>
      <c r="B30" s="24" t="s">
        <v>25</v>
      </c>
      <c r="C30" s="24">
        <v>1000</v>
      </c>
      <c r="D30" s="24" t="e">
        <f t="shared" si="0"/>
        <v>#DIV/0!</v>
      </c>
      <c r="E30" s="24"/>
      <c r="F30" s="24">
        <f t="shared" si="1"/>
        <v>0</v>
      </c>
      <c r="G30" s="24"/>
      <c r="H30" s="24"/>
      <c r="I30" s="24">
        <f t="shared" si="2"/>
        <v>0</v>
      </c>
      <c r="J30" s="24"/>
      <c r="K30" s="24"/>
      <c r="L30" s="24">
        <f t="shared" si="3"/>
        <v>0</v>
      </c>
      <c r="M30" s="24">
        <f t="shared" si="4"/>
        <v>0</v>
      </c>
      <c r="N30" s="24"/>
      <c r="O30" s="26"/>
      <c r="P30" s="27"/>
      <c r="Q30" s="24"/>
    </row>
    <row r="31" spans="1:17">
      <c r="A31" s="25">
        <v>46080</v>
      </c>
      <c r="B31" s="24" t="s">
        <v>26</v>
      </c>
      <c r="C31" s="24">
        <v>1000</v>
      </c>
      <c r="D31" s="24" t="e">
        <f t="shared" si="0"/>
        <v>#DIV/0!</v>
      </c>
      <c r="E31" s="24"/>
      <c r="F31" s="24">
        <f t="shared" si="1"/>
        <v>0</v>
      </c>
      <c r="G31" s="24"/>
      <c r="H31" s="24"/>
      <c r="I31" s="24">
        <f t="shared" si="2"/>
        <v>0</v>
      </c>
      <c r="J31" s="24"/>
      <c r="K31" s="24"/>
      <c r="L31" s="24">
        <f t="shared" si="3"/>
        <v>0</v>
      </c>
      <c r="M31" s="24">
        <f t="shared" si="4"/>
        <v>0</v>
      </c>
      <c r="N31" s="24"/>
      <c r="O31" s="26"/>
      <c r="P31" s="27"/>
      <c r="Q31" s="24"/>
    </row>
    <row r="32" spans="1:17">
      <c r="A32" s="25">
        <v>46081</v>
      </c>
      <c r="B32" s="24" t="s">
        <v>27</v>
      </c>
      <c r="C32" s="24">
        <v>1000</v>
      </c>
      <c r="D32" s="24" t="e">
        <f t="shared" si="0"/>
        <v>#DIV/0!</v>
      </c>
      <c r="E32" s="24"/>
      <c r="F32" s="24">
        <f t="shared" si="1"/>
        <v>0</v>
      </c>
      <c r="G32" s="24"/>
      <c r="H32" s="24"/>
      <c r="I32" s="24">
        <f t="shared" si="2"/>
        <v>0</v>
      </c>
      <c r="J32" s="24"/>
      <c r="K32" s="24"/>
      <c r="L32" s="24">
        <f t="shared" si="3"/>
        <v>0</v>
      </c>
      <c r="M32" s="24">
        <f t="shared" si="4"/>
        <v>0</v>
      </c>
      <c r="N32" s="24"/>
      <c r="O32" s="26"/>
      <c r="P32" s="27"/>
      <c r="Q32" s="24"/>
    </row>
    <row r="33" spans="1:17">
      <c r="A33" s="25">
        <v>46082</v>
      </c>
      <c r="B33" s="24" t="s">
        <v>28</v>
      </c>
      <c r="C33" s="24">
        <v>1000</v>
      </c>
      <c r="D33" s="24" t="e">
        <f t="shared" si="0"/>
        <v>#DIV/0!</v>
      </c>
      <c r="E33" s="24"/>
      <c r="F33" s="24">
        <f t="shared" si="1"/>
        <v>0</v>
      </c>
      <c r="G33" s="24"/>
      <c r="H33" s="24"/>
      <c r="I33" s="24">
        <f t="shared" si="2"/>
        <v>0</v>
      </c>
      <c r="J33" s="24"/>
      <c r="K33" s="24"/>
      <c r="L33" s="24">
        <f t="shared" si="3"/>
        <v>0</v>
      </c>
      <c r="M33" s="24">
        <f t="shared" si="4"/>
        <v>0</v>
      </c>
      <c r="N33" s="24"/>
      <c r="O33" s="26"/>
      <c r="P33" s="27"/>
      <c r="Q33" s="24"/>
    </row>
    <row r="34" spans="1:17">
      <c r="A34" s="25">
        <v>46083</v>
      </c>
      <c r="B34" s="24" t="s">
        <v>22</v>
      </c>
      <c r="C34" s="24">
        <v>1000</v>
      </c>
      <c r="D34" s="24" t="e">
        <f t="shared" si="0"/>
        <v>#DIV/0!</v>
      </c>
      <c r="E34" s="24"/>
      <c r="F34" s="24">
        <f t="shared" si="1"/>
        <v>0</v>
      </c>
      <c r="G34" s="24"/>
      <c r="H34" s="24"/>
      <c r="I34" s="24">
        <f t="shared" si="2"/>
        <v>0</v>
      </c>
      <c r="J34" s="24"/>
      <c r="K34" s="24"/>
      <c r="L34" s="24">
        <f t="shared" si="3"/>
        <v>0</v>
      </c>
      <c r="M34" s="24">
        <f t="shared" si="4"/>
        <v>0</v>
      </c>
      <c r="N34" s="24"/>
      <c r="O34" s="26"/>
      <c r="P34" s="27"/>
      <c r="Q34" s="24"/>
    </row>
    <row r="35" spans="1:17">
      <c r="A35" s="25">
        <v>46084</v>
      </c>
      <c r="B35" s="24" t="s">
        <v>23</v>
      </c>
      <c r="C35" s="24">
        <v>1000</v>
      </c>
      <c r="D35" s="24" t="e">
        <f t="shared" si="0"/>
        <v>#DIV/0!</v>
      </c>
      <c r="E35" s="24"/>
      <c r="F35" s="24">
        <f t="shared" si="1"/>
        <v>0</v>
      </c>
      <c r="G35" s="24"/>
      <c r="H35" s="24"/>
      <c r="I35" s="24">
        <f t="shared" si="2"/>
        <v>0</v>
      </c>
      <c r="J35" s="24"/>
      <c r="K35" s="24"/>
      <c r="L35" s="24">
        <f t="shared" si="3"/>
        <v>0</v>
      </c>
      <c r="M35" s="24">
        <f t="shared" si="4"/>
        <v>0</v>
      </c>
      <c r="N35" s="24"/>
      <c r="O35" s="26"/>
      <c r="P35" s="27"/>
      <c r="Q35" s="24"/>
    </row>
    <row r="36" spans="1:17">
      <c r="A36" s="25">
        <v>46085</v>
      </c>
      <c r="B36" s="24" t="s">
        <v>24</v>
      </c>
      <c r="C36" s="24">
        <v>1000</v>
      </c>
      <c r="D36" s="24" t="e">
        <f t="shared" si="0"/>
        <v>#DIV/0!</v>
      </c>
      <c r="E36" s="24"/>
      <c r="F36" s="24">
        <f t="shared" si="1"/>
        <v>0</v>
      </c>
      <c r="G36" s="24"/>
      <c r="H36" s="24"/>
      <c r="I36" s="24">
        <f t="shared" si="2"/>
        <v>0</v>
      </c>
      <c r="J36" s="24"/>
      <c r="K36" s="24"/>
      <c r="L36" s="24">
        <f t="shared" si="3"/>
        <v>0</v>
      </c>
      <c r="M36" s="24">
        <f t="shared" si="4"/>
        <v>0</v>
      </c>
      <c r="N36" s="24"/>
      <c r="O36" s="26"/>
      <c r="P36" s="27"/>
      <c r="Q36" s="24"/>
    </row>
    <row r="40" spans="1:17">
      <c r="C40" s="32" t="s">
        <v>51</v>
      </c>
      <c r="D40" s="32"/>
      <c r="E40" s="32"/>
      <c r="F40" s="32"/>
      <c r="G40" s="32"/>
      <c r="H40" s="32"/>
      <c r="I40" s="32"/>
      <c r="J40" s="32"/>
      <c r="K40" s="32"/>
      <c r="L40" s="32"/>
    </row>
    <row r="41" spans="1:17"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1:17">
      <c r="C42" s="28"/>
      <c r="D42" s="28" t="s">
        <v>30</v>
      </c>
      <c r="E42" s="29" t="s">
        <v>37</v>
      </c>
      <c r="F42" s="29"/>
      <c r="G42" s="29"/>
      <c r="H42" s="29"/>
      <c r="I42" s="29"/>
      <c r="J42" s="29"/>
      <c r="K42" s="29"/>
      <c r="L42" s="29"/>
    </row>
    <row r="43" spans="1:17">
      <c r="C43" s="28"/>
      <c r="D43" s="28" t="s">
        <v>31</v>
      </c>
      <c r="E43" s="29" t="s">
        <v>38</v>
      </c>
      <c r="F43" s="29"/>
      <c r="G43" s="29"/>
      <c r="H43" s="29"/>
      <c r="I43" s="29"/>
      <c r="J43" s="29"/>
      <c r="K43" s="29"/>
      <c r="L43" s="29"/>
    </row>
    <row r="44" spans="1:17">
      <c r="C44" s="30" t="s">
        <v>32</v>
      </c>
      <c r="D44" s="31" t="s">
        <v>15</v>
      </c>
      <c r="E44" s="29" t="s">
        <v>39</v>
      </c>
      <c r="F44" s="29"/>
      <c r="G44" s="29"/>
      <c r="H44" s="29"/>
      <c r="I44" s="29"/>
      <c r="J44" s="29"/>
      <c r="K44" s="29"/>
      <c r="L44" s="29"/>
    </row>
    <row r="45" spans="1:17">
      <c r="C45" s="30"/>
      <c r="D45" s="31" t="s">
        <v>16</v>
      </c>
      <c r="E45" s="29" t="s">
        <v>40</v>
      </c>
      <c r="F45" s="29"/>
      <c r="G45" s="29"/>
      <c r="H45" s="29"/>
      <c r="I45" s="29"/>
      <c r="J45" s="29"/>
      <c r="K45" s="29"/>
      <c r="L45" s="29"/>
    </row>
    <row r="46" spans="1:17">
      <c r="C46" s="28"/>
      <c r="D46" s="28" t="s">
        <v>8</v>
      </c>
      <c r="E46" s="29" t="s">
        <v>41</v>
      </c>
      <c r="F46" s="29"/>
      <c r="G46" s="29"/>
      <c r="H46" s="29"/>
      <c r="I46" s="29"/>
      <c r="J46" s="29"/>
      <c r="K46" s="29"/>
      <c r="L46" s="29"/>
    </row>
    <row r="47" spans="1:17">
      <c r="C47" s="28"/>
      <c r="D47" s="28" t="s">
        <v>33</v>
      </c>
      <c r="E47" s="29" t="s">
        <v>42</v>
      </c>
      <c r="F47" s="29"/>
      <c r="G47" s="29"/>
      <c r="H47" s="29"/>
      <c r="I47" s="29"/>
      <c r="J47" s="29"/>
      <c r="K47" s="29"/>
      <c r="L47" s="29"/>
    </row>
    <row r="48" spans="1:17">
      <c r="C48" s="30" t="s">
        <v>35</v>
      </c>
      <c r="D48" s="31" t="s">
        <v>17</v>
      </c>
      <c r="E48" s="29" t="s">
        <v>43</v>
      </c>
      <c r="F48" s="29"/>
      <c r="G48" s="29"/>
      <c r="H48" s="29"/>
      <c r="I48" s="29"/>
      <c r="J48" s="29"/>
      <c r="K48" s="29"/>
      <c r="L48" s="29"/>
    </row>
    <row r="49" spans="3:12">
      <c r="C49" s="30"/>
      <c r="D49" s="31" t="s">
        <v>34</v>
      </c>
      <c r="E49" s="29" t="s">
        <v>44</v>
      </c>
      <c r="F49" s="29"/>
      <c r="G49" s="29"/>
      <c r="H49" s="29"/>
      <c r="I49" s="29"/>
      <c r="J49" s="29"/>
      <c r="K49" s="29"/>
      <c r="L49" s="29"/>
    </row>
    <row r="50" spans="3:12">
      <c r="C50" s="30"/>
      <c r="D50" s="31" t="s">
        <v>19</v>
      </c>
      <c r="E50" s="29" t="s">
        <v>45</v>
      </c>
      <c r="F50" s="29"/>
      <c r="G50" s="29"/>
      <c r="H50" s="29"/>
      <c r="I50" s="29"/>
      <c r="J50" s="29"/>
      <c r="K50" s="29"/>
      <c r="L50" s="29"/>
    </row>
    <row r="51" spans="3:12">
      <c r="C51" s="28"/>
      <c r="D51" s="28" t="s">
        <v>11</v>
      </c>
      <c r="E51" s="29" t="s">
        <v>46</v>
      </c>
      <c r="F51" s="29"/>
      <c r="G51" s="29"/>
      <c r="H51" s="29"/>
      <c r="I51" s="29"/>
      <c r="J51" s="29"/>
      <c r="K51" s="29"/>
      <c r="L51" s="29"/>
    </row>
    <row r="52" spans="3:12">
      <c r="C52" s="28"/>
      <c r="D52" s="28" t="s">
        <v>36</v>
      </c>
      <c r="E52" s="29" t="s">
        <v>47</v>
      </c>
      <c r="F52" s="29"/>
      <c r="G52" s="29"/>
      <c r="H52" s="29"/>
      <c r="I52" s="29"/>
      <c r="J52" s="29"/>
      <c r="K52" s="29"/>
      <c r="L52" s="29"/>
    </row>
    <row r="53" spans="3:12">
      <c r="C53" s="28"/>
      <c r="D53" s="28" t="s">
        <v>48</v>
      </c>
      <c r="E53" s="29" t="s">
        <v>49</v>
      </c>
      <c r="F53" s="29"/>
      <c r="G53" s="29"/>
      <c r="H53" s="29"/>
      <c r="I53" s="29"/>
      <c r="J53" s="29"/>
      <c r="K53" s="29"/>
      <c r="L53" s="29"/>
    </row>
    <row r="54" spans="3:12">
      <c r="C54" s="28"/>
      <c r="D54" s="28" t="s">
        <v>14</v>
      </c>
      <c r="E54" s="29" t="s">
        <v>50</v>
      </c>
      <c r="F54" s="29"/>
      <c r="G54" s="29"/>
      <c r="H54" s="29"/>
      <c r="I54" s="29"/>
      <c r="J54" s="29"/>
      <c r="K54" s="29"/>
      <c r="L54" s="29"/>
    </row>
  </sheetData>
  <mergeCells count="68">
    <mergeCell ref="E52:L52"/>
    <mergeCell ref="E53:L53"/>
    <mergeCell ref="E54:L54"/>
    <mergeCell ref="C40:L41"/>
    <mergeCell ref="E46:L46"/>
    <mergeCell ref="E47:L47"/>
    <mergeCell ref="E48:L48"/>
    <mergeCell ref="E49:L49"/>
    <mergeCell ref="E50:L50"/>
    <mergeCell ref="E51:L51"/>
    <mergeCell ref="O34:P34"/>
    <mergeCell ref="O35:P35"/>
    <mergeCell ref="O36:P36"/>
    <mergeCell ref="C44:C45"/>
    <mergeCell ref="C48:C50"/>
    <mergeCell ref="E42:L42"/>
    <mergeCell ref="E43:L43"/>
    <mergeCell ref="E44:L44"/>
    <mergeCell ref="E45:L45"/>
    <mergeCell ref="O28:P28"/>
    <mergeCell ref="O29:P29"/>
    <mergeCell ref="O30:P30"/>
    <mergeCell ref="O31:P31"/>
    <mergeCell ref="O32:P32"/>
    <mergeCell ref="O33:P33"/>
    <mergeCell ref="O22:P22"/>
    <mergeCell ref="O23:P23"/>
    <mergeCell ref="O24:P24"/>
    <mergeCell ref="O25:P25"/>
    <mergeCell ref="O26:P26"/>
    <mergeCell ref="O27:P27"/>
    <mergeCell ref="O16:P16"/>
    <mergeCell ref="O17:P17"/>
    <mergeCell ref="O18:P18"/>
    <mergeCell ref="O19:P19"/>
    <mergeCell ref="O20:P20"/>
    <mergeCell ref="O21:P21"/>
    <mergeCell ref="O10:P10"/>
    <mergeCell ref="O11:P11"/>
    <mergeCell ref="O12:P12"/>
    <mergeCell ref="O13:P13"/>
    <mergeCell ref="O14:P14"/>
    <mergeCell ref="O15:P15"/>
    <mergeCell ref="O4:P5"/>
    <mergeCell ref="Q4:Q5"/>
    <mergeCell ref="O6:P6"/>
    <mergeCell ref="O7:P7"/>
    <mergeCell ref="O8:P8"/>
    <mergeCell ref="O9:P9"/>
    <mergeCell ref="I3:I5"/>
    <mergeCell ref="J3:L3"/>
    <mergeCell ref="M3:M5"/>
    <mergeCell ref="N3:N5"/>
    <mergeCell ref="F4:F5"/>
    <mergeCell ref="G4:G5"/>
    <mergeCell ref="J4:J5"/>
    <mergeCell ref="K4:K5"/>
    <mergeCell ref="L4:L5"/>
    <mergeCell ref="A1:D1"/>
    <mergeCell ref="O1:P1"/>
    <mergeCell ref="A2:Q2"/>
    <mergeCell ref="A3:A5"/>
    <mergeCell ref="B3:B5"/>
    <mergeCell ref="C3:C5"/>
    <mergeCell ref="D3:D5"/>
    <mergeCell ref="E3:E5"/>
    <mergeCell ref="F3:G3"/>
    <mergeCell ref="H3:H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2026-02-02T06:20:01Z</dcterms:created>
  <dcterms:modified xsi:type="dcterms:W3CDTF">2026-02-02T06:56:22Z</dcterms:modified>
</cp:coreProperties>
</file>