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recordsheet 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<sst xmlns="http://schemas.openxmlformats.org/spreadsheetml/2006/main" count="690" uniqueCount="126">
  <si>
    <t xml:space="preserve"> </t>
  </si>
  <si>
    <t>Fill</t>
  </si>
  <si>
    <t xml:space="preserve">Fill </t>
  </si>
  <si>
    <t xml:space="preserve">GMTR0003 business record - employee update sheet </t>
  </si>
  <si>
    <t xml:space="preserve">Date </t>
  </si>
  <si>
    <t>Day</t>
  </si>
  <si>
    <t>Cash
balance</t>
  </si>
  <si>
    <t>Average bill</t>
  </si>
  <si>
    <t xml:space="preserve">No.
of bills  </t>
  </si>
  <si>
    <t>Cash</t>
  </si>
  <si>
    <t xml:space="preserve">Online </t>
  </si>
  <si>
    <t xml:space="preserve">Total sales </t>
  </si>
  <si>
    <t>Sales</t>
  </si>
  <si>
    <t xml:space="preserve">Difference </t>
  </si>
  <si>
    <t>Cash Reserve</t>
  </si>
  <si>
    <t xml:space="preserve">reserve balance </t>
  </si>
  <si>
    <t xml:space="preserve">Expense record </t>
  </si>
  <si>
    <t xml:space="preserve">Total Cash </t>
  </si>
  <si>
    <t>Actual Cash</t>
  </si>
  <si>
    <t xml:space="preserve">Unbilled </t>
  </si>
  <si>
    <t>Software fig.</t>
  </si>
  <si>
    <t xml:space="preserve">Recorded sales </t>
  </si>
  <si>
    <t xml:space="preserve">Comments </t>
  </si>
  <si>
    <t xml:space="preserve">Amount </t>
  </si>
  <si>
    <t xml:space="preserve">Wednesday </t>
  </si>
  <si>
    <t>Thursday</t>
  </si>
  <si>
    <t>Check settlement</t>
  </si>
  <si>
    <t>Friday</t>
  </si>
  <si>
    <t>Saturday</t>
  </si>
  <si>
    <t>Sunday</t>
  </si>
  <si>
    <t>Monday</t>
  </si>
  <si>
    <t>UNCLE</t>
  </si>
  <si>
    <t>Tuesday</t>
  </si>
  <si>
    <t>Wednesday</t>
  </si>
  <si>
    <t>20TH DEC BILL CLEARED-3010
360 - ramthakur stamp</t>
  </si>
  <si>
    <t>259 early bill clear</t>
  </si>
  <si>
    <t>DUESLIP 1125</t>
  </si>
  <si>
    <t xml:space="preserve">SOMNATH PAUL DUE 63
190 Gauri paul due clearance 
333 &amp; 131 29/12/2025 unbilled cleared </t>
  </si>
  <si>
    <t>2026 AD</t>
  </si>
  <si>
    <t xml:space="preserve">Pritam </t>
  </si>
  <si>
    <t xml:space="preserve">330 DUE Nanda Optics
1000 - cash balance withdrawn </t>
  </si>
  <si>
    <t xml:space="preserve">Raju  Sutradhar - 3000
11067- Tulamura  bill due 
1000 - cash balance </t>
  </si>
  <si>
    <t>GMTR0004-267</t>
  </si>
  <si>
    <t xml:space="preserve">1775 Tulamura due 
640 - insulin 
177 - sunday due bill </t>
  </si>
  <si>
    <t xml:space="preserve">10000 RENT </t>
  </si>
  <si>
    <t xml:space="preserve">280 Udaipur trade license application 
2000 withdrawn </t>
  </si>
  <si>
    <t xml:space="preserve">1720 Kumaresh Das return </t>
  </si>
  <si>
    <t>Ganraj ch 133 wipes
Swapnajit Debnath 58</t>
  </si>
  <si>
    <t>CUPENTA CN 394 DAVAINDIA</t>
  </si>
  <si>
    <t>Davaindia Melatonin Gummies 311</t>
  </si>
  <si>
    <t>335 due slip</t>
  </si>
  <si>
    <t>1460 nan pro 1</t>
  </si>
  <si>
    <t>Kumaresh Das to return 500</t>
  </si>
  <si>
    <t>Kumaresh Das returned 500</t>
  </si>
  <si>
    <t>Kumaresh Das returned 4030</t>
  </si>
  <si>
    <t>-</t>
  </si>
  <si>
    <t>Unbilled</t>
  </si>
  <si>
    <t xml:space="preserve">Software sales </t>
  </si>
  <si>
    <t xml:space="preserve">Differnce </t>
  </si>
  <si>
    <t xml:space="preserve">difference Speicifcs </t>
  </si>
  <si>
    <t xml:space="preserve">1030 deducted from cash balance </t>
  </si>
  <si>
    <t>30 added to cash balance</t>
  </si>
  <si>
    <t xml:space="preserve">1754 EARLY BILL CLEARED </t>
  </si>
  <si>
    <t>65 balance</t>
  </si>
  <si>
    <t xml:space="preserve">899 bijit roy due </t>
  </si>
  <si>
    <t xml:space="preserve"> 6600 tulamura PHC due </t>
  </si>
  <si>
    <t xml:space="preserve">Samar Roy due </t>
  </si>
  <si>
    <t>625 davaindia sales due to be billed</t>
  </si>
  <si>
    <t>700 depositted in bank</t>
  </si>
  <si>
    <t>Davaindia Due 972</t>
  </si>
  <si>
    <t xml:space="preserve">4260 - earlly bill clearance 
192 return balance </t>
  </si>
  <si>
    <t>111 credit note</t>
  </si>
  <si>
    <t>80 Credit Note</t>
  </si>
  <si>
    <t>//44</t>
  </si>
  <si>
    <t>360  credit note</t>
  </si>
  <si>
    <t>285 - credit note</t>
  </si>
  <si>
    <t>CREDIT NOTE 225</t>
  </si>
  <si>
    <t>1000 Salary Advance</t>
  </si>
  <si>
    <t>600 depositted in bank</t>
  </si>
  <si>
    <t>PREVIOUS BILL - 468</t>
  </si>
  <si>
    <r>
      <rPr>
        <rFont val="Arial"/>
        <color theme="1"/>
      </rPr>
      <t xml:space="preserve">Tarun Kumar Das -1250 due - </t>
    </r>
    <r>
      <rPr>
        <rFont val="Arial"/>
        <b/>
        <color theme="1"/>
      </rPr>
      <t>cleared</t>
    </r>
  </si>
  <si>
    <t>Sudip kumar shil-325</t>
  </si>
  <si>
    <t>Credit note 279</t>
  </si>
  <si>
    <t>cash reserved taken</t>
  </si>
  <si>
    <t xml:space="preserve">900 DEPOSITTED IN  BANK - PRITAM </t>
  </si>
  <si>
    <t>900 WITHDREW FROM CASH - PRITAM 
KUMARESH DAS - 398</t>
  </si>
  <si>
    <t>San Roy Due-529</t>
  </si>
  <si>
    <t>San Roy Due clear-529</t>
  </si>
  <si>
    <t>Kumaresh Das - 392 
 Due Clear</t>
  </si>
  <si>
    <t>3000-/ FAROPENAM 300 EARLY BILL CLEAR</t>
  </si>
  <si>
    <t>Anamika saha das due 171</t>
  </si>
  <si>
    <t>WATER 100+WASH 50</t>
  </si>
  <si>
    <t>Midodrine 7 strips. Bijoy Paul due 910</t>
  </si>
  <si>
    <t>RISKA BARA 40.PAPAR INSART800</t>
  </si>
  <si>
    <t>A4 PAPAR.GARDAR.POLYTHIN BAG</t>
  </si>
  <si>
    <t>910 DUE CLEAR Bijoy Paul</t>
  </si>
  <si>
    <t>water 100</t>
  </si>
  <si>
    <t>TITU SARKAR ADVANCE 5000</t>
  </si>
  <si>
    <t>SANDIPAN DHAM DUE 165</t>
  </si>
  <si>
    <t>693 EARLY DUE AMOUNT</t>
  </si>
  <si>
    <t>DURGA PUJAR CHADA 200</t>
  </si>
  <si>
    <t>water or flastric/SAN ROY 8000</t>
  </si>
  <si>
    <t>SOMNATH SIR 305</t>
  </si>
  <si>
    <t>SOMNATH SIR 28/WATER10+5</t>
  </si>
  <si>
    <t>NABADIGANTA 1000</t>
  </si>
  <si>
    <t>BANK SETTLEMENT FOLLOW UP</t>
  </si>
  <si>
    <t>PEN 50 FILE 20 WATER 100+PROMOTIONAL500</t>
  </si>
  <si>
    <t>record error actual difference -19</t>
  </si>
  <si>
    <t>LIZOL120.</t>
  </si>
  <si>
    <t xml:space="preserve">call shandipan dham </t>
  </si>
  <si>
    <t xml:space="preserve">Salary Advance </t>
  </si>
  <si>
    <t xml:space="preserve">Check settlement amount AXIS bank </t>
  </si>
  <si>
    <t>1500 added to cash reserve. Cash balance 2204.</t>
  </si>
  <si>
    <t>755 NAN PRO 2</t>
  </si>
  <si>
    <t xml:space="preserve">CHEEK SETTLEMENT AMOUNT </t>
  </si>
  <si>
    <t>UNCAL LOTION/CUSTOMER WILL GET 70</t>
  </si>
  <si>
    <t>UNCLE 50 OR UNCLE G-SKINGLOW 52</t>
  </si>
  <si>
    <t>Flowers&amp;Travels</t>
  </si>
  <si>
    <t>SOMNATH BAHI 300+72
9863012140 DUE SILP 495</t>
  </si>
  <si>
    <t>KUMARESH DAS DUE 107</t>
  </si>
  <si>
    <t>NAN 3 NAN 4 =4</t>
  </si>
  <si>
    <t>SANTANO DAS SLY</t>
  </si>
  <si>
    <t>SOMA DEB
DEBURAJ BISWAS - 3000</t>
  </si>
  <si>
    <t>Deburaj</t>
  </si>
  <si>
    <t>755-Nan pro 2</t>
  </si>
  <si>
    <t xml:space="preserve">UPDATE ON NEW RECORD SHEET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</si>
</sst>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0.0"/>
    <numFmt numFmtId="166" formatCode="dd-mmmm-yyyy"/>
  </numFmts>
  <fonts count="18">
    <font>
      <sz val="10.0"/>
      <color rgb="FF000000"/>
      <name val="Arial"/>
      <scheme val="minor"/>
    </font>
    <font>
      <sz val="11.0"/>
      <color theme="1"/>
      <name val="Arial"/>
    </font>
    <font/>
    <font>
      <b/>
      <sz val="20.0"/>
      <color rgb="FFFF0000"/>
      <name val="Arial"/>
    </font>
    <font>
      <color theme="1"/>
      <name val="Arial"/>
    </font>
    <font>
      <color theme="1"/>
      <name val="Arial"/>
      <scheme val="minor"/>
    </font>
    <font>
      <b/>
      <sz val="21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b/>
      <sz val="20.0"/>
      <color theme="1"/>
      <name val="Arial"/>
    </font>
    <font>
      <b/>
      <sz val="2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b/>
      <sz val="40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6" fillId="0" fontId="2" numFmtId="0" xfId="0" applyBorder="1" applyFont="1"/>
    <xf borderId="7" fillId="0" fontId="7" numFmtId="0" xfId="0" applyAlignment="1" applyBorder="1" applyFont="1">
      <alignment horizontal="center" vertical="center"/>
    </xf>
    <xf borderId="8" fillId="0" fontId="2" numFmtId="0" xfId="0" applyBorder="1" applyFont="1"/>
    <xf borderId="5" fillId="0" fontId="9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3" fillId="0" fontId="4" numFmtId="164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3" fillId="3" fontId="4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3" fillId="5" fontId="4" numFmtId="164" xfId="0" applyAlignment="1" applyBorder="1" applyFill="1" applyFont="1" applyNumberFormat="1">
      <alignment horizontal="center" readingOrder="0" vertical="center"/>
    </xf>
    <xf borderId="3" fillId="5" fontId="4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 vertical="center"/>
    </xf>
    <xf borderId="3" fillId="0" fontId="5" numFmtId="166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0" fontId="5" numFmtId="166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16" numFmtId="0" xfId="0" applyAlignment="1" applyFont="1">
      <alignment horizontal="center" readingOrder="0" vertical="center"/>
    </xf>
    <xf borderId="3" fillId="6" fontId="5" numFmtId="166" xfId="0" applyAlignment="1" applyBorder="1" applyFill="1" applyFont="1" applyNumberFormat="1">
      <alignment horizontal="center" readingOrder="0" vertical="center"/>
    </xf>
    <xf borderId="3" fillId="6" fontId="5" numFmtId="0" xfId="0" applyAlignment="1" applyBorder="1" applyFont="1">
      <alignment horizontal="center" readingOrder="0" vertical="center"/>
    </xf>
    <xf borderId="3" fillId="6" fontId="5" numFmtId="0" xfId="0" applyAlignment="1" applyBorder="1" applyFont="1">
      <alignment horizontal="center" vertical="center"/>
    </xf>
    <xf borderId="3" fillId="6" fontId="4" numFmtId="0" xfId="0" applyAlignment="1" applyBorder="1" applyFont="1">
      <alignment horizontal="center" readingOrder="0" vertical="center"/>
    </xf>
    <xf borderId="3" fillId="6" fontId="4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5" fillId="0" fontId="5" numFmtId="166" xfId="0" applyAlignment="1" applyBorder="1" applyFont="1" applyNumberForma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1" fillId="0" fontId="17" numFmtId="166" xfId="0" applyAlignment="1" applyBorder="1" applyFont="1" applyNumberFormat="1">
      <alignment horizontal="center"/>
    </xf>
    <xf borderId="0" fillId="0" fontId="5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5" max="5" width="9.63"/>
    <col customWidth="1" min="10" max="10" width="13.88"/>
    <col customWidth="1" min="11" max="11" width="14.75"/>
    <col customWidth="1" min="12" max="12" width="21.38"/>
    <col customWidth="1" min="14" max="14" width="16.75"/>
    <col customWidth="1" min="15" max="15" width="20.63"/>
    <col customWidth="1" min="17" max="17" width="27.75"/>
  </cols>
  <sheetData>
    <row r="1">
      <c r="A1" s="1" t="s">
        <v>0</v>
      </c>
      <c r="B1" s="2"/>
      <c r="C1" s="2"/>
      <c r="D1" s="2"/>
      <c r="E1" s="3" t="s">
        <v>1</v>
      </c>
      <c r="F1" s="4"/>
      <c r="G1" s="3" t="s">
        <v>1</v>
      </c>
      <c r="H1" s="3" t="s">
        <v>1</v>
      </c>
      <c r="I1" s="5"/>
      <c r="J1" s="3" t="s">
        <v>1</v>
      </c>
      <c r="K1" s="3" t="s">
        <v>1</v>
      </c>
      <c r="L1" s="6"/>
      <c r="M1" s="5"/>
      <c r="N1" s="3" t="s">
        <v>1</v>
      </c>
      <c r="O1" s="7"/>
      <c r="P1" s="8"/>
      <c r="Q1" s="3" t="s">
        <v>2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1" t="s">
        <v>4</v>
      </c>
      <c r="B3" s="11" t="s">
        <v>5</v>
      </c>
      <c r="C3" s="11" t="s">
        <v>6</v>
      </c>
      <c r="D3" s="12" t="s">
        <v>7</v>
      </c>
      <c r="E3" s="12" t="s">
        <v>8</v>
      </c>
      <c r="F3" s="13" t="s">
        <v>9</v>
      </c>
      <c r="G3" s="8"/>
      <c r="H3" s="11" t="s">
        <v>10</v>
      </c>
      <c r="I3" s="11" t="s">
        <v>11</v>
      </c>
      <c r="J3" s="13" t="s">
        <v>12</v>
      </c>
      <c r="K3" s="2"/>
      <c r="L3" s="8"/>
      <c r="M3" s="11" t="s">
        <v>13</v>
      </c>
      <c r="N3" s="11" t="s">
        <v>14</v>
      </c>
      <c r="O3" s="14" t="s">
        <v>15</v>
      </c>
      <c r="P3" s="15">
        <f>sum(N6:N1011)+1516</f>
        <v>2440</v>
      </c>
      <c r="Q3" s="16" t="s">
        <v>16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7"/>
      <c r="B4" s="17"/>
      <c r="C4" s="17"/>
      <c r="D4" s="17"/>
      <c r="E4" s="17"/>
      <c r="F4" s="11" t="s">
        <v>17</v>
      </c>
      <c r="G4" s="11" t="s">
        <v>18</v>
      </c>
      <c r="H4" s="17"/>
      <c r="I4" s="17"/>
      <c r="J4" s="11" t="s">
        <v>19</v>
      </c>
      <c r="K4" s="11" t="s">
        <v>20</v>
      </c>
      <c r="L4" s="11" t="s">
        <v>21</v>
      </c>
      <c r="M4" s="17"/>
      <c r="N4" s="17"/>
      <c r="O4" s="18" t="s">
        <v>22</v>
      </c>
      <c r="P4" s="19"/>
      <c r="Q4" s="20" t="s">
        <v>23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  <c r="P5" s="23"/>
      <c r="Q5" s="21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24">
        <v>46001.0</v>
      </c>
      <c r="B6" s="25" t="s">
        <v>24</v>
      </c>
      <c r="C6" s="25">
        <v>1000.0</v>
      </c>
      <c r="D6" s="25">
        <f t="shared" ref="D6:D9" si="1">L6/E6</f>
        <v>311.3</v>
      </c>
      <c r="E6" s="25">
        <v>90.0</v>
      </c>
      <c r="F6" s="5">
        <f>sum(G6+N6+Q6)+1203</f>
        <v>13283</v>
      </c>
      <c r="G6" s="5">
        <f>9500+2000</f>
        <v>11500</v>
      </c>
      <c r="H6" s="25">
        <v>14693.0</v>
      </c>
      <c r="I6" s="5">
        <f t="shared" ref="I6:I27" si="2">H6+F6</f>
        <v>27976</v>
      </c>
      <c r="J6" s="5">
        <f>69+50+94</f>
        <v>213</v>
      </c>
      <c r="K6" s="25">
        <v>27804.0</v>
      </c>
      <c r="L6" s="5">
        <f t="shared" ref="L6:L16" si="3">J6+K6</f>
        <v>28017</v>
      </c>
      <c r="M6" s="5">
        <f t="shared" ref="M6:M13" si="4">I6-L6</f>
        <v>-41</v>
      </c>
      <c r="N6" s="25">
        <f>-70-20-50-50+70</f>
        <v>-120</v>
      </c>
      <c r="O6" s="7"/>
      <c r="P6" s="8"/>
      <c r="Q6" s="25">
        <f>700</f>
        <v>700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4">
        <v>46002.0</v>
      </c>
      <c r="B7" s="25" t="s">
        <v>25</v>
      </c>
      <c r="C7" s="25">
        <v>1000.0</v>
      </c>
      <c r="D7" s="26">
        <f t="shared" si="1"/>
        <v>233.4318182</v>
      </c>
      <c r="E7" s="25">
        <v>88.0</v>
      </c>
      <c r="F7" s="5">
        <f>sum(G7+N7+Q7)</f>
        <v>9281</v>
      </c>
      <c r="G7" s="25">
        <v>10000.0</v>
      </c>
      <c r="H7" s="25">
        <f>7962+2918</f>
        <v>10880</v>
      </c>
      <c r="I7" s="5">
        <f t="shared" si="2"/>
        <v>20161</v>
      </c>
      <c r="J7" s="25">
        <v>865.0</v>
      </c>
      <c r="K7" s="25">
        <v>19677.0</v>
      </c>
      <c r="L7" s="5">
        <f t="shared" si="3"/>
        <v>20542</v>
      </c>
      <c r="M7" s="5">
        <f t="shared" si="4"/>
        <v>-381</v>
      </c>
      <c r="N7" s="5">
        <f>-20-40-20+31-100-50-65-35-45-50-55-200-35-35-25-5</f>
        <v>-749</v>
      </c>
      <c r="O7" s="27" t="s">
        <v>26</v>
      </c>
      <c r="P7" s="8"/>
      <c r="Q7" s="25">
        <v>30.0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24">
        <v>46003.0</v>
      </c>
      <c r="B8" s="25" t="s">
        <v>27</v>
      </c>
      <c r="C8" s="25">
        <v>1000.0</v>
      </c>
      <c r="D8" s="26">
        <f t="shared" si="1"/>
        <v>209.4545455</v>
      </c>
      <c r="E8" s="25">
        <v>66.0</v>
      </c>
      <c r="F8" s="5">
        <f>sum(G8+N8+Q8)+545</f>
        <v>9927</v>
      </c>
      <c r="G8" s="25">
        <v>9400.0</v>
      </c>
      <c r="H8" s="25">
        <v>3873.0</v>
      </c>
      <c r="I8" s="5">
        <f t="shared" si="2"/>
        <v>13800</v>
      </c>
      <c r="J8" s="5">
        <f>33+17</f>
        <v>50</v>
      </c>
      <c r="K8" s="25">
        <v>13774.0</v>
      </c>
      <c r="L8" s="5">
        <f t="shared" si="3"/>
        <v>13824</v>
      </c>
      <c r="M8" s="5">
        <f t="shared" si="4"/>
        <v>-24</v>
      </c>
      <c r="N8" s="25">
        <f>-13-40+35</f>
        <v>-18</v>
      </c>
      <c r="O8" s="7"/>
      <c r="P8" s="8"/>
      <c r="Q8" s="5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24">
        <v>46004.0</v>
      </c>
      <c r="B9" s="25" t="s">
        <v>28</v>
      </c>
      <c r="C9" s="25">
        <v>1000.0</v>
      </c>
      <c r="D9" s="26">
        <f t="shared" si="1"/>
        <v>151.7741935</v>
      </c>
      <c r="E9" s="25">
        <v>93.0</v>
      </c>
      <c r="F9" s="5">
        <f t="shared" ref="F9:F11" si="5">sum(G9+N9+Q9)</f>
        <v>9433</v>
      </c>
      <c r="G9" s="25">
        <v>9700.0</v>
      </c>
      <c r="H9" s="25">
        <v>5110.0</v>
      </c>
      <c r="I9" s="5">
        <f t="shared" si="2"/>
        <v>14543</v>
      </c>
      <c r="J9" s="5"/>
      <c r="K9" s="25">
        <v>14115.0</v>
      </c>
      <c r="L9" s="5">
        <f t="shared" si="3"/>
        <v>14115</v>
      </c>
      <c r="M9" s="5">
        <f t="shared" si="4"/>
        <v>428</v>
      </c>
      <c r="N9" s="25">
        <f>33-50-70-50-30-20-30-10-40</f>
        <v>-267</v>
      </c>
      <c r="O9" s="7"/>
      <c r="P9" s="8"/>
      <c r="Q9" s="5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24">
        <v>46005.0</v>
      </c>
      <c r="B10" s="25" t="s">
        <v>29</v>
      </c>
      <c r="C10" s="25">
        <v>1000.0</v>
      </c>
      <c r="D10" s="26">
        <v>0.0</v>
      </c>
      <c r="E10" s="25">
        <v>0.0</v>
      </c>
      <c r="F10" s="5">
        <f t="shared" si="5"/>
        <v>0</v>
      </c>
      <c r="G10" s="25">
        <v>0.0</v>
      </c>
      <c r="H10" s="25">
        <v>0.0</v>
      </c>
      <c r="I10" s="5">
        <f t="shared" si="2"/>
        <v>0</v>
      </c>
      <c r="J10" s="25">
        <v>0.0</v>
      </c>
      <c r="K10" s="25">
        <v>0.0</v>
      </c>
      <c r="L10" s="5">
        <f t="shared" si="3"/>
        <v>0</v>
      </c>
      <c r="M10" s="5">
        <f t="shared" si="4"/>
        <v>0</v>
      </c>
      <c r="N10" s="25">
        <v>0.0</v>
      </c>
      <c r="O10" s="27">
        <v>0.0</v>
      </c>
      <c r="P10" s="8"/>
      <c r="Q10" s="25">
        <v>0.0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24">
        <v>46006.0</v>
      </c>
      <c r="B11" s="25" t="s">
        <v>30</v>
      </c>
      <c r="C11" s="25">
        <v>1000.0</v>
      </c>
      <c r="D11" s="26">
        <f t="shared" ref="D11:D16" si="6">L11/E11</f>
        <v>220.2803738</v>
      </c>
      <c r="E11" s="25">
        <v>107.0</v>
      </c>
      <c r="F11" s="5">
        <f t="shared" si="5"/>
        <v>15131</v>
      </c>
      <c r="G11" s="25">
        <v>11300.0</v>
      </c>
      <c r="H11" s="25">
        <f>8874</f>
        <v>8874</v>
      </c>
      <c r="I11" s="5">
        <f t="shared" si="2"/>
        <v>24005</v>
      </c>
      <c r="J11" s="25">
        <f>30+252+132+30+10+27</f>
        <v>481</v>
      </c>
      <c r="K11" s="25">
        <v>23089.0</v>
      </c>
      <c r="L11" s="5">
        <f t="shared" si="3"/>
        <v>23570</v>
      </c>
      <c r="M11" s="5">
        <f t="shared" si="4"/>
        <v>435</v>
      </c>
      <c r="N11" s="5">
        <f>-35-50-25+56-200</f>
        <v>-254</v>
      </c>
      <c r="O11" s="27" t="s">
        <v>31</v>
      </c>
      <c r="P11" s="8"/>
      <c r="Q11" s="25">
        <f>3500+30+20+500+35</f>
        <v>4085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24">
        <v>46007.0</v>
      </c>
      <c r="B12" s="25" t="s">
        <v>32</v>
      </c>
      <c r="C12" s="25">
        <v>1000.0</v>
      </c>
      <c r="D12" s="26">
        <f t="shared" si="6"/>
        <v>174.3214286</v>
      </c>
      <c r="E12" s="25">
        <v>84.0</v>
      </c>
      <c r="F12" s="5">
        <f>sum(G12+N12+Q12)-240+62</f>
        <v>8628</v>
      </c>
      <c r="G12" s="25">
        <v>8600.0</v>
      </c>
      <c r="H12" s="25">
        <f>67+489+50+34+454+56+56+648+94+389+75+45+23+1326+28+194+47+235+13+154+357+178+23+188+174+84+207+54+117+226</f>
        <v>6085</v>
      </c>
      <c r="I12" s="5">
        <f t="shared" si="2"/>
        <v>14713</v>
      </c>
      <c r="J12" s="5">
        <f>50+50</f>
        <v>100</v>
      </c>
      <c r="K12" s="25">
        <v>14543.0</v>
      </c>
      <c r="L12" s="5">
        <f t="shared" si="3"/>
        <v>14643</v>
      </c>
      <c r="M12" s="5">
        <f t="shared" si="4"/>
        <v>70</v>
      </c>
      <c r="N12" s="25">
        <f>-50-100-200-60-30-40-20</f>
        <v>-500</v>
      </c>
      <c r="O12" s="7"/>
      <c r="P12" s="8"/>
      <c r="Q12" s="5">
        <f>30++100+30+470+76</f>
        <v>706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24">
        <v>46008.0</v>
      </c>
      <c r="B13" s="25" t="s">
        <v>33</v>
      </c>
      <c r="C13" s="25">
        <v>1000.0</v>
      </c>
      <c r="D13" s="26">
        <f t="shared" si="6"/>
        <v>165.7674419</v>
      </c>
      <c r="E13" s="25">
        <v>86.0</v>
      </c>
      <c r="F13" s="5">
        <f>sum(G13+N13+Q13)</f>
        <v>10271</v>
      </c>
      <c r="G13" s="25">
        <v>7800.0</v>
      </c>
      <c r="H13" s="25">
        <v>3936.0</v>
      </c>
      <c r="I13" s="5">
        <f t="shared" si="2"/>
        <v>14207</v>
      </c>
      <c r="J13" s="5">
        <f>59+75+24+132+40+25+54</f>
        <v>409</v>
      </c>
      <c r="K13" s="25">
        <v>13847.0</v>
      </c>
      <c r="L13" s="5">
        <f t="shared" si="3"/>
        <v>14256</v>
      </c>
      <c r="M13" s="5">
        <f t="shared" si="4"/>
        <v>-49</v>
      </c>
      <c r="N13" s="25">
        <f>-4+95</f>
        <v>91</v>
      </c>
      <c r="O13" s="7"/>
      <c r="P13" s="8"/>
      <c r="Q13" s="5">
        <f>1800+500+30+50</f>
        <v>2380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24">
        <v>46009.0</v>
      </c>
      <c r="B14" s="25" t="s">
        <v>25</v>
      </c>
      <c r="C14" s="25">
        <v>1000.0</v>
      </c>
      <c r="D14" s="26">
        <f t="shared" si="6"/>
        <v>219.9479167</v>
      </c>
      <c r="E14" s="25">
        <v>96.0</v>
      </c>
      <c r="F14" s="5">
        <f>sum(G14+N14+Q14)-120+75</f>
        <v>11625</v>
      </c>
      <c r="G14" s="25">
        <v>11700.0</v>
      </c>
      <c r="H14" s="5">
        <f>2532+6678</f>
        <v>9210</v>
      </c>
      <c r="I14" s="5">
        <f t="shared" si="2"/>
        <v>20835</v>
      </c>
      <c r="J14" s="5">
        <f>+40+420+18+84</f>
        <v>562</v>
      </c>
      <c r="K14" s="25">
        <v>20553.0</v>
      </c>
      <c r="L14" s="5">
        <f t="shared" si="3"/>
        <v>21115</v>
      </c>
      <c r="M14" s="5">
        <f>I14-L14+60+36</f>
        <v>-184</v>
      </c>
      <c r="N14" s="25">
        <f>-20-35+25</f>
        <v>-30</v>
      </c>
      <c r="O14" s="7"/>
      <c r="P14" s="8"/>
      <c r="Q14" s="5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24">
        <v>46010.0</v>
      </c>
      <c r="B15" s="25" t="s">
        <v>27</v>
      </c>
      <c r="C15" s="25">
        <v>1000.0</v>
      </c>
      <c r="D15" s="26">
        <f t="shared" si="6"/>
        <v>251.6533333</v>
      </c>
      <c r="E15" s="25">
        <v>75.0</v>
      </c>
      <c r="F15" s="5">
        <f>sum(G15+N15+Q15)-550</f>
        <v>5570</v>
      </c>
      <c r="G15" s="25">
        <v>6100.0</v>
      </c>
      <c r="H15" s="25">
        <v>13394.0</v>
      </c>
      <c r="I15" s="5">
        <f t="shared" si="2"/>
        <v>18964</v>
      </c>
      <c r="J15" s="5">
        <f>47</f>
        <v>47</v>
      </c>
      <c r="K15" s="25">
        <v>18827.0</v>
      </c>
      <c r="L15" s="5">
        <f t="shared" si="3"/>
        <v>18874</v>
      </c>
      <c r="M15" s="5">
        <f t="shared" ref="M15:M18" si="7">I15-L15</f>
        <v>90</v>
      </c>
      <c r="N15" s="5">
        <f>-20-60</f>
        <v>-80</v>
      </c>
      <c r="O15" s="7"/>
      <c r="P15" s="8"/>
      <c r="Q15" s="25">
        <f>30+30+40</f>
        <v>100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24">
        <v>46011.0</v>
      </c>
      <c r="B16" s="25" t="s">
        <v>28</v>
      </c>
      <c r="C16" s="25">
        <v>1000.0</v>
      </c>
      <c r="D16" s="26">
        <f t="shared" si="6"/>
        <v>391.4736842</v>
      </c>
      <c r="E16" s="25">
        <v>57.0</v>
      </c>
      <c r="F16" s="5">
        <f t="shared" ref="F16:F17" si="8">sum(G16+N16+Q16)</f>
        <v>13840</v>
      </c>
      <c r="G16" s="25">
        <f>12600+800</f>
        <v>13400</v>
      </c>
      <c r="H16" s="25">
        <v>8616.0</v>
      </c>
      <c r="I16" s="5">
        <f t="shared" si="2"/>
        <v>22456</v>
      </c>
      <c r="J16" s="28">
        <f>3002+28+158+481+345+300+132</f>
        <v>4446</v>
      </c>
      <c r="K16" s="25">
        <v>17868.0</v>
      </c>
      <c r="L16" s="5">
        <f t="shared" si="3"/>
        <v>22314</v>
      </c>
      <c r="M16" s="5">
        <f t="shared" si="7"/>
        <v>142</v>
      </c>
      <c r="N16" s="5">
        <f>-100+200+50</f>
        <v>150</v>
      </c>
      <c r="O16" s="7"/>
      <c r="P16" s="8"/>
      <c r="Q16" s="25">
        <v>290.0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24">
        <v>46012.0</v>
      </c>
      <c r="B17" s="25" t="s">
        <v>29</v>
      </c>
      <c r="C17" s="25">
        <v>1000.0</v>
      </c>
      <c r="D17" s="26">
        <v>0.0</v>
      </c>
      <c r="E17" s="25">
        <v>0.0</v>
      </c>
      <c r="F17" s="5">
        <f t="shared" si="8"/>
        <v>0</v>
      </c>
      <c r="G17" s="25">
        <v>0.0</v>
      </c>
      <c r="H17" s="25">
        <v>0.0</v>
      </c>
      <c r="I17" s="5">
        <f t="shared" si="2"/>
        <v>0</v>
      </c>
      <c r="J17" s="25">
        <v>0.0</v>
      </c>
      <c r="K17" s="25">
        <v>0.0</v>
      </c>
      <c r="L17" s="25">
        <v>0.0</v>
      </c>
      <c r="M17" s="5">
        <f t="shared" si="7"/>
        <v>0</v>
      </c>
      <c r="N17" s="5"/>
      <c r="O17" s="27">
        <v>0.0</v>
      </c>
      <c r="P17" s="8"/>
      <c r="Q17" s="25">
        <v>0.0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24">
        <v>46013.0</v>
      </c>
      <c r="B18" s="25" t="s">
        <v>30</v>
      </c>
      <c r="C18" s="25">
        <v>1000.0</v>
      </c>
      <c r="D18" s="26">
        <f t="shared" ref="D18:D23" si="9">L18/E18</f>
        <v>240.125</v>
      </c>
      <c r="E18" s="25">
        <v>96.0</v>
      </c>
      <c r="F18" s="5">
        <f>sum(G18+N18+Q18)+1181</f>
        <v>11386</v>
      </c>
      <c r="G18" s="25">
        <v>9500.0</v>
      </c>
      <c r="H18" s="25">
        <v>11620.0</v>
      </c>
      <c r="I18" s="5">
        <f t="shared" si="2"/>
        <v>23006</v>
      </c>
      <c r="J18" s="5">
        <f>792+50</f>
        <v>842</v>
      </c>
      <c r="K18" s="25">
        <v>22210.0</v>
      </c>
      <c r="L18" s="5">
        <f>J18+K18</f>
        <v>23052</v>
      </c>
      <c r="M18" s="5">
        <f t="shared" si="7"/>
        <v>-46</v>
      </c>
      <c r="N18" s="25">
        <f>-2-10-50-55+52</f>
        <v>-65</v>
      </c>
      <c r="O18" s="7"/>
      <c r="P18" s="8"/>
      <c r="Q18" s="5">
        <f>800-30</f>
        <v>770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24">
        <v>46014.0</v>
      </c>
      <c r="B19" s="25" t="s">
        <v>32</v>
      </c>
      <c r="C19" s="25">
        <v>1000.0</v>
      </c>
      <c r="D19" s="26">
        <f t="shared" si="9"/>
        <v>168.8607595</v>
      </c>
      <c r="E19" s="25">
        <v>79.0</v>
      </c>
      <c r="F19" s="5">
        <f>sum(G19+N19+Q19)</f>
        <v>6426</v>
      </c>
      <c r="G19" s="25">
        <v>6300.0</v>
      </c>
      <c r="H19" s="25">
        <v>7330.0</v>
      </c>
      <c r="I19" s="5">
        <f t="shared" si="2"/>
        <v>13756</v>
      </c>
      <c r="J19" s="5">
        <f>36+30+40+168</f>
        <v>274</v>
      </c>
      <c r="K19" s="25">
        <v>16076.0</v>
      </c>
      <c r="L19" s="29">
        <f>J19+K19-3010</f>
        <v>13340</v>
      </c>
      <c r="M19" s="5">
        <f>I19-L19-360</f>
        <v>56</v>
      </c>
      <c r="N19" s="5">
        <f>-10+6</f>
        <v>-4</v>
      </c>
      <c r="O19" s="27" t="s">
        <v>34</v>
      </c>
      <c r="P19" s="8"/>
      <c r="Q19" s="5">
        <f>50+50+30</f>
        <v>130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24">
        <v>46015.0</v>
      </c>
      <c r="B20" s="25" t="s">
        <v>33</v>
      </c>
      <c r="C20" s="25">
        <v>1000.0</v>
      </c>
      <c r="D20" s="26">
        <f t="shared" si="9"/>
        <v>218.7012987</v>
      </c>
      <c r="E20" s="25">
        <v>77.0</v>
      </c>
      <c r="F20" s="5">
        <f>sum(G20+N20+Q20)+1063</f>
        <v>8731</v>
      </c>
      <c r="G20" s="25">
        <v>7400.0</v>
      </c>
      <c r="H20" s="25">
        <v>8328.0</v>
      </c>
      <c r="I20" s="5">
        <f t="shared" si="2"/>
        <v>17059</v>
      </c>
      <c r="J20" s="5">
        <f>+25+112+126+56+295+40</f>
        <v>654</v>
      </c>
      <c r="K20" s="25">
        <v>16186.0</v>
      </c>
      <c r="L20" s="5">
        <f t="shared" ref="L20:L27" si="10">J20+K20</f>
        <v>16840</v>
      </c>
      <c r="M20" s="5">
        <f>I20-L20</f>
        <v>219</v>
      </c>
      <c r="N20" s="5">
        <f>-50-50+28</f>
        <v>-72</v>
      </c>
      <c r="O20" s="7"/>
      <c r="P20" s="8"/>
      <c r="Q20" s="25">
        <v>340.0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24">
        <v>46016.0</v>
      </c>
      <c r="B21" s="25" t="s">
        <v>25</v>
      </c>
      <c r="C21" s="25">
        <v>1000.0</v>
      </c>
      <c r="D21" s="26">
        <f t="shared" si="9"/>
        <v>223.95</v>
      </c>
      <c r="E21" s="25">
        <v>60.0</v>
      </c>
      <c r="F21" s="5">
        <f>sum(G21+N21+Q21)+876</f>
        <v>9576</v>
      </c>
      <c r="G21" s="25">
        <v>8700.0</v>
      </c>
      <c r="H21" s="25">
        <f>85+4174</f>
        <v>4259</v>
      </c>
      <c r="I21" s="5">
        <f t="shared" si="2"/>
        <v>13835</v>
      </c>
      <c r="J21" s="5">
        <f>207+755+199+20+100+25</f>
        <v>1306</v>
      </c>
      <c r="K21" s="25">
        <f>85+12046</f>
        <v>12131</v>
      </c>
      <c r="L21" s="5">
        <f t="shared" si="10"/>
        <v>13437</v>
      </c>
      <c r="M21" s="5">
        <f>I21-L21-259</f>
        <v>139</v>
      </c>
      <c r="N21" s="5">
        <f>-20-20-70+43</f>
        <v>-67</v>
      </c>
      <c r="O21" s="27" t="s">
        <v>35</v>
      </c>
      <c r="P21" s="8"/>
      <c r="Q21" s="5">
        <f>67</f>
        <v>67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4">
        <v>46017.0</v>
      </c>
      <c r="B22" s="25" t="s">
        <v>27</v>
      </c>
      <c r="C22" s="25">
        <v>1000.0</v>
      </c>
      <c r="D22" s="26">
        <f t="shared" si="9"/>
        <v>207.0352941</v>
      </c>
      <c r="E22" s="25">
        <v>85.0</v>
      </c>
      <c r="F22" s="5">
        <f>sum(G22+N22+Q22)+242</f>
        <v>5972</v>
      </c>
      <c r="G22" s="25">
        <f>5000</f>
        <v>5000</v>
      </c>
      <c r="H22" s="25">
        <v>12711.0</v>
      </c>
      <c r="I22" s="5">
        <f t="shared" si="2"/>
        <v>18683</v>
      </c>
      <c r="J22" s="5">
        <f>+46+84+20+3</f>
        <v>153</v>
      </c>
      <c r="K22" s="25">
        <f>17445</f>
        <v>17445</v>
      </c>
      <c r="L22" s="5">
        <f t="shared" si="10"/>
        <v>17598</v>
      </c>
      <c r="M22" s="5">
        <f>I22-L22+259-1125</f>
        <v>219</v>
      </c>
      <c r="N22" s="25">
        <f>-20+50+2</f>
        <v>32</v>
      </c>
      <c r="O22" s="27" t="s">
        <v>36</v>
      </c>
      <c r="P22" s="8"/>
      <c r="Q22" s="25">
        <f>80+618</f>
        <v>698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24">
        <v>46018.0</v>
      </c>
      <c r="B23" s="25" t="s">
        <v>28</v>
      </c>
      <c r="C23" s="25">
        <v>1000.0</v>
      </c>
      <c r="D23" s="26">
        <f t="shared" si="9"/>
        <v>216.8045977</v>
      </c>
      <c r="E23" s="25">
        <v>87.0</v>
      </c>
      <c r="F23" s="5">
        <f t="shared" ref="F23:F24" si="11">sum(G23+N23+Q23)</f>
        <v>12125</v>
      </c>
      <c r="G23" s="5">
        <f>11900</f>
        <v>11900</v>
      </c>
      <c r="H23" s="25">
        <v>6597.0</v>
      </c>
      <c r="I23" s="5">
        <f t="shared" si="2"/>
        <v>18722</v>
      </c>
      <c r="J23" s="25">
        <f>140+84+141+26+10</f>
        <v>401</v>
      </c>
      <c r="K23" s="25">
        <v>18461.0</v>
      </c>
      <c r="L23" s="5">
        <f t="shared" si="10"/>
        <v>18862</v>
      </c>
      <c r="M23" s="5">
        <f t="shared" ref="M23:M26" si="12">I23-L23</f>
        <v>-140</v>
      </c>
      <c r="N23" s="5">
        <f>-40+205</f>
        <v>165</v>
      </c>
      <c r="O23" s="7"/>
      <c r="P23" s="8"/>
      <c r="Q23" s="5">
        <f>60</f>
        <v>60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24">
        <v>46019.0</v>
      </c>
      <c r="B24" s="25" t="s">
        <v>29</v>
      </c>
      <c r="C24" s="25">
        <v>1000.0</v>
      </c>
      <c r="D24" s="26">
        <v>0.0</v>
      </c>
      <c r="E24" s="25">
        <v>0.0</v>
      </c>
      <c r="F24" s="5">
        <f t="shared" si="11"/>
        <v>0</v>
      </c>
      <c r="G24" s="25">
        <v>0.0</v>
      </c>
      <c r="H24" s="25">
        <v>0.0</v>
      </c>
      <c r="I24" s="5">
        <f t="shared" si="2"/>
        <v>0</v>
      </c>
      <c r="J24" s="25">
        <v>0.0</v>
      </c>
      <c r="K24" s="25">
        <v>0.0</v>
      </c>
      <c r="L24" s="5">
        <f t="shared" si="10"/>
        <v>0</v>
      </c>
      <c r="M24" s="5">
        <f t="shared" si="12"/>
        <v>0</v>
      </c>
      <c r="N24" s="25">
        <v>0.0</v>
      </c>
      <c r="O24" s="27">
        <v>0.0</v>
      </c>
      <c r="P24" s="8"/>
      <c r="Q24" s="25">
        <v>0.0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24">
        <v>46020.0</v>
      </c>
      <c r="B25" s="25" t="s">
        <v>30</v>
      </c>
      <c r="C25" s="25">
        <v>1000.0</v>
      </c>
      <c r="D25" s="26">
        <f t="shared" ref="D25:D27" si="13">L25/E25</f>
        <v>291.5913978</v>
      </c>
      <c r="E25" s="25">
        <v>93.0</v>
      </c>
      <c r="F25" s="5">
        <f>sum(G25+N25+Q25)+159</f>
        <v>10299</v>
      </c>
      <c r="G25" s="25">
        <v>10200.0</v>
      </c>
      <c r="H25" s="25">
        <v>16819.0</v>
      </c>
      <c r="I25" s="5">
        <f t="shared" si="2"/>
        <v>27118</v>
      </c>
      <c r="J25" s="25">
        <f>55+252+333+131+214</f>
        <v>985</v>
      </c>
      <c r="K25" s="25">
        <v>26133.0</v>
      </c>
      <c r="L25" s="5">
        <f t="shared" si="10"/>
        <v>27118</v>
      </c>
      <c r="M25" s="5">
        <f t="shared" si="12"/>
        <v>0</v>
      </c>
      <c r="N25" s="5">
        <f>-50-50-20</f>
        <v>-120</v>
      </c>
      <c r="O25" s="7"/>
      <c r="P25" s="8"/>
      <c r="Q25" s="5">
        <f>30+30</f>
        <v>60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24">
        <v>46021.0</v>
      </c>
      <c r="B26" s="25" t="s">
        <v>32</v>
      </c>
      <c r="C26" s="25">
        <v>1000.0</v>
      </c>
      <c r="D26" s="26">
        <f t="shared" si="13"/>
        <v>194.7926829</v>
      </c>
      <c r="E26" s="25">
        <v>82.0</v>
      </c>
      <c r="F26" s="5">
        <f t="shared" ref="F26:F27" si="14">sum(G26+N26+Q26)</f>
        <v>8530</v>
      </c>
      <c r="G26" s="25">
        <v>8600.0</v>
      </c>
      <c r="H26" s="25">
        <v>7557.0</v>
      </c>
      <c r="I26" s="5">
        <f t="shared" si="2"/>
        <v>16087</v>
      </c>
      <c r="J26" s="5">
        <f>20</f>
        <v>20</v>
      </c>
      <c r="K26" s="25">
        <v>15953.0</v>
      </c>
      <c r="L26" s="5">
        <f t="shared" si="10"/>
        <v>15973</v>
      </c>
      <c r="M26" s="5">
        <f t="shared" si="12"/>
        <v>114</v>
      </c>
      <c r="N26" s="5">
        <f>-100+30</f>
        <v>-70</v>
      </c>
      <c r="O26" s="7"/>
      <c r="P26" s="8"/>
      <c r="Q26" s="5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24">
        <v>46022.0</v>
      </c>
      <c r="B27" s="25" t="s">
        <v>33</v>
      </c>
      <c r="C27" s="25">
        <v>1000.0</v>
      </c>
      <c r="D27" s="26">
        <f t="shared" si="13"/>
        <v>298.9117647</v>
      </c>
      <c r="E27" s="25">
        <v>68.0</v>
      </c>
      <c r="F27" s="5">
        <f t="shared" si="14"/>
        <v>11872</v>
      </c>
      <c r="G27" s="25">
        <v>9500.0</v>
      </c>
      <c r="H27" s="25">
        <f>-190+7605+525</f>
        <v>7940</v>
      </c>
      <c r="I27" s="5">
        <f t="shared" si="2"/>
        <v>19812</v>
      </c>
      <c r="J27" s="5">
        <f>25+10+25</f>
        <v>60</v>
      </c>
      <c r="K27" s="25">
        <f>19741+525</f>
        <v>20266</v>
      </c>
      <c r="L27" s="5">
        <f t="shared" si="10"/>
        <v>20326</v>
      </c>
      <c r="M27" s="5">
        <f>I27-L27+333+131</f>
        <v>-50</v>
      </c>
      <c r="N27" s="25">
        <f>-10+22</f>
        <v>12</v>
      </c>
      <c r="O27" s="27" t="s">
        <v>37</v>
      </c>
      <c r="P27" s="8"/>
      <c r="Q27" s="25">
        <v>2360.0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0" t="s">
        <v>38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24">
        <v>46023.0</v>
      </c>
      <c r="B29" s="25" t="s">
        <v>25</v>
      </c>
      <c r="C29" s="25">
        <v>1000.0</v>
      </c>
      <c r="D29" s="26">
        <f t="shared" ref="D29:D59" si="15">L29/E29</f>
        <v>181.2839506</v>
      </c>
      <c r="E29" s="25">
        <v>81.0</v>
      </c>
      <c r="F29" s="5">
        <f>sum(G29+N29+Q29)</f>
        <v>7246</v>
      </c>
      <c r="G29" s="5">
        <f>4000+3200</f>
        <v>7200</v>
      </c>
      <c r="H29" s="25">
        <v>7385.0</v>
      </c>
      <c r="I29" s="5">
        <f t="shared" ref="I29:I59" si="16">H29+F29</f>
        <v>14631</v>
      </c>
      <c r="J29" s="25">
        <f>115+10+26</f>
        <v>151</v>
      </c>
      <c r="K29" s="25">
        <v>14533.0</v>
      </c>
      <c r="L29" s="5">
        <f t="shared" ref="L29:L59" si="17">J29+K29</f>
        <v>14684</v>
      </c>
      <c r="M29" s="5">
        <f t="shared" ref="M29:M31" si="18">I29-L29</f>
        <v>-53</v>
      </c>
      <c r="N29" s="25">
        <f>-22+24-20+4</f>
        <v>-14</v>
      </c>
      <c r="O29" s="7"/>
      <c r="P29" s="8"/>
      <c r="Q29" s="5">
        <f>60</f>
        <v>60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24">
        <v>46024.0</v>
      </c>
      <c r="B30" s="25" t="s">
        <v>27</v>
      </c>
      <c r="C30" s="25">
        <v>1000.0</v>
      </c>
      <c r="D30" s="26">
        <f t="shared" si="15"/>
        <v>249.7428571</v>
      </c>
      <c r="E30" s="25">
        <v>105.0</v>
      </c>
      <c r="F30" s="5">
        <f>sum(G30+N30+Q30)+281</f>
        <v>14243</v>
      </c>
      <c r="G30" s="5">
        <f>8000+2900</f>
        <v>10900</v>
      </c>
      <c r="H30" s="25">
        <v>12023.0</v>
      </c>
      <c r="I30" s="5">
        <f t="shared" si="16"/>
        <v>26266</v>
      </c>
      <c r="J30" s="5">
        <f>99+10+24+126</f>
        <v>259</v>
      </c>
      <c r="K30" s="25">
        <v>25964.0</v>
      </c>
      <c r="L30" s="5">
        <f t="shared" si="17"/>
        <v>26223</v>
      </c>
      <c r="M30" s="5">
        <f t="shared" si="18"/>
        <v>43</v>
      </c>
      <c r="N30" s="5">
        <f>-20+3000-2000</f>
        <v>980</v>
      </c>
      <c r="O30" s="27" t="s">
        <v>39</v>
      </c>
      <c r="P30" s="8"/>
      <c r="Q30" s="5">
        <f>30+52+2000</f>
        <v>2082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1">
        <v>46025.0</v>
      </c>
      <c r="B31" s="32" t="s">
        <v>28</v>
      </c>
      <c r="C31" s="32">
        <v>1000.0</v>
      </c>
      <c r="D31" s="26">
        <f t="shared" si="15"/>
        <v>278.559633</v>
      </c>
      <c r="E31" s="32">
        <v>109.0</v>
      </c>
      <c r="F31" s="33">
        <f t="shared" ref="F31:F32" si="19">sum(G31+N31+Q31)</f>
        <v>14971</v>
      </c>
      <c r="G31" s="32">
        <v>5700.0</v>
      </c>
      <c r="H31" s="32">
        <v>15384.0</v>
      </c>
      <c r="I31" s="33">
        <f t="shared" si="16"/>
        <v>30355</v>
      </c>
      <c r="J31" s="33">
        <f>44</f>
        <v>44</v>
      </c>
      <c r="K31" s="32">
        <v>30319.0</v>
      </c>
      <c r="L31" s="33">
        <f t="shared" si="17"/>
        <v>30363</v>
      </c>
      <c r="M31" s="33">
        <f t="shared" si="18"/>
        <v>-8</v>
      </c>
      <c r="N31" s="32">
        <f>-50+341</f>
        <v>291</v>
      </c>
      <c r="O31" s="34"/>
      <c r="P31" s="8"/>
      <c r="Q31" s="33">
        <f>30+50+1200+150+50+500+7000</f>
        <v>8980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24">
        <v>46026.0</v>
      </c>
      <c r="B32" s="25" t="s">
        <v>29</v>
      </c>
      <c r="C32" s="25">
        <v>1000.0</v>
      </c>
      <c r="D32" s="26">
        <f t="shared" si="15"/>
        <v>188.5454545</v>
      </c>
      <c r="E32" s="25">
        <v>55.0</v>
      </c>
      <c r="F32" s="5">
        <f t="shared" si="19"/>
        <v>5874</v>
      </c>
      <c r="G32" s="25">
        <f>2000+1000</f>
        <v>3000</v>
      </c>
      <c r="H32" s="25">
        <v>4267.0</v>
      </c>
      <c r="I32" s="5">
        <f t="shared" si="16"/>
        <v>10141</v>
      </c>
      <c r="J32" s="5">
        <v>0.0</v>
      </c>
      <c r="K32" s="25">
        <v>10370.0</v>
      </c>
      <c r="L32" s="5">
        <f t="shared" si="17"/>
        <v>10370</v>
      </c>
      <c r="M32" s="5">
        <f>I32-L32+330</f>
        <v>101</v>
      </c>
      <c r="N32" s="25">
        <f>0-10-23-25-20-20-5+225</f>
        <v>122</v>
      </c>
      <c r="O32" s="27" t="s">
        <v>40</v>
      </c>
      <c r="P32" s="8"/>
      <c r="Q32" s="5">
        <f>422+30+2500-200</f>
        <v>2752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24">
        <v>46027.0</v>
      </c>
      <c r="B33" s="25" t="s">
        <v>30</v>
      </c>
      <c r="C33" s="25">
        <v>1000.0</v>
      </c>
      <c r="D33" s="26">
        <f t="shared" si="15"/>
        <v>333.725</v>
      </c>
      <c r="E33" s="25">
        <v>120.0</v>
      </c>
      <c r="F33" s="5">
        <f>sum(G33+N33+Q33)+873</f>
        <v>12926</v>
      </c>
      <c r="G33" s="5">
        <f>6000+600</f>
        <v>6600</v>
      </c>
      <c r="H33" s="25">
        <v>15304.0</v>
      </c>
      <c r="I33" s="5">
        <f t="shared" si="16"/>
        <v>28230</v>
      </c>
      <c r="J33" s="5">
        <f>98+426+14</f>
        <v>538</v>
      </c>
      <c r="K33" s="25">
        <v>39509.0</v>
      </c>
      <c r="L33" s="5">
        <f t="shared" si="17"/>
        <v>40047</v>
      </c>
      <c r="M33" s="5">
        <f>I33-L33+11067+1000-330</f>
        <v>-80</v>
      </c>
      <c r="N33" s="5">
        <f>-7-300-10-25+2000-270-60+30</f>
        <v>1358</v>
      </c>
      <c r="O33" s="27" t="s">
        <v>41</v>
      </c>
      <c r="P33" s="8"/>
      <c r="Q33" s="25">
        <f>30+865+200+3000</f>
        <v>4095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24">
        <v>46028.0</v>
      </c>
      <c r="B34" s="25" t="s">
        <v>32</v>
      </c>
      <c r="C34" s="25">
        <v>1000.0</v>
      </c>
      <c r="D34" s="26">
        <f t="shared" si="15"/>
        <v>214.3301887</v>
      </c>
      <c r="E34" s="25">
        <v>106.0</v>
      </c>
      <c r="F34" s="5">
        <f t="shared" ref="F34:F35" si="20">sum(G34+N34+Q34)</f>
        <v>13779</v>
      </c>
      <c r="G34" s="25">
        <f>9700+614+180</f>
        <v>10494</v>
      </c>
      <c r="H34" s="25">
        <v>9250.0</v>
      </c>
      <c r="I34" s="5">
        <f t="shared" si="16"/>
        <v>23029</v>
      </c>
      <c r="J34" s="5">
        <f>7+50</f>
        <v>57</v>
      </c>
      <c r="K34" s="25">
        <v>22662.0</v>
      </c>
      <c r="L34" s="5">
        <f t="shared" si="17"/>
        <v>22719</v>
      </c>
      <c r="M34" s="5">
        <f>I34-L34-267</f>
        <v>43</v>
      </c>
      <c r="N34" s="25">
        <f>83+62</f>
        <v>145</v>
      </c>
      <c r="O34" s="27" t="s">
        <v>42</v>
      </c>
      <c r="P34" s="8"/>
      <c r="Q34" s="25">
        <v>3140.0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24">
        <v>46029.0</v>
      </c>
      <c r="B35" s="25" t="s">
        <v>33</v>
      </c>
      <c r="C35" s="25">
        <v>1000.0</v>
      </c>
      <c r="D35" s="26">
        <f t="shared" si="15"/>
        <v>209.2970297</v>
      </c>
      <c r="E35" s="25">
        <v>101.0</v>
      </c>
      <c r="F35" s="5">
        <f t="shared" si="20"/>
        <v>11401</v>
      </c>
      <c r="G35" s="25">
        <v>11600.0</v>
      </c>
      <c r="H35" s="25">
        <v>9166.0</v>
      </c>
      <c r="I35" s="5">
        <f t="shared" si="16"/>
        <v>20567</v>
      </c>
      <c r="J35" s="5">
        <f>30+42+33</f>
        <v>105</v>
      </c>
      <c r="K35" s="25">
        <v>21034.0</v>
      </c>
      <c r="L35" s="5">
        <f t="shared" si="17"/>
        <v>21139</v>
      </c>
      <c r="M35" s="5">
        <f>I35-L35+347+267</f>
        <v>42</v>
      </c>
      <c r="N35" s="25">
        <f>-45-20-20-4-10-20-40-20-40-60+50</f>
        <v>-229</v>
      </c>
      <c r="O35" s="7"/>
      <c r="P35" s="8"/>
      <c r="Q35" s="25">
        <v>30.0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24">
        <v>46030.0</v>
      </c>
      <c r="B36" s="25" t="s">
        <v>25</v>
      </c>
      <c r="C36" s="25">
        <v>1000.0</v>
      </c>
      <c r="D36" s="26">
        <f t="shared" si="15"/>
        <v>223.6705882</v>
      </c>
      <c r="E36" s="25">
        <v>85.0</v>
      </c>
      <c r="F36" s="5">
        <f>sum(G36+N36+Q36)+258</f>
        <v>10236</v>
      </c>
      <c r="G36" s="25">
        <v>9900.0</v>
      </c>
      <c r="H36" s="25">
        <v>8810.0</v>
      </c>
      <c r="I36" s="5">
        <f t="shared" si="16"/>
        <v>19046</v>
      </c>
      <c r="J36" s="5">
        <f>339+70+10+42</f>
        <v>461</v>
      </c>
      <c r="K36" s="25">
        <v>18551.0</v>
      </c>
      <c r="L36" s="5">
        <f t="shared" si="17"/>
        <v>19012</v>
      </c>
      <c r="M36" s="5">
        <f>I36-L36</f>
        <v>34</v>
      </c>
      <c r="N36" s="5">
        <f>+48</f>
        <v>48</v>
      </c>
      <c r="O36" s="7"/>
      <c r="P36" s="8"/>
      <c r="Q36" s="25">
        <v>30.0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4">
        <v>46031.0</v>
      </c>
      <c r="B37" s="25" t="s">
        <v>27</v>
      </c>
      <c r="C37" s="25">
        <v>1000.0</v>
      </c>
      <c r="D37" s="26">
        <f t="shared" si="15"/>
        <v>210.2314815</v>
      </c>
      <c r="E37" s="25">
        <v>108.0</v>
      </c>
      <c r="F37" s="5">
        <f>sum(G37+N37+Q37)+243-39</f>
        <v>13641</v>
      </c>
      <c r="G37" s="25">
        <v>13200.0</v>
      </c>
      <c r="H37" s="25">
        <v>8841.0</v>
      </c>
      <c r="I37" s="5">
        <f t="shared" si="16"/>
        <v>22482</v>
      </c>
      <c r="J37" s="5">
        <f>44</f>
        <v>44</v>
      </c>
      <c r="K37" s="25">
        <v>22661.0</v>
      </c>
      <c r="L37" s="5">
        <f t="shared" si="17"/>
        <v>22705</v>
      </c>
      <c r="M37" s="5">
        <f>I37-L37+300</f>
        <v>77</v>
      </c>
      <c r="N37" s="25">
        <f>+67</f>
        <v>67</v>
      </c>
      <c r="O37" s="7"/>
      <c r="P37" s="8"/>
      <c r="Q37" s="25">
        <f>30+140</f>
        <v>170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24">
        <v>46032.0</v>
      </c>
      <c r="B38" s="25" t="s">
        <v>28</v>
      </c>
      <c r="C38" s="25">
        <v>1000.0</v>
      </c>
      <c r="D38" s="26">
        <f t="shared" si="15"/>
        <v>191.8313253</v>
      </c>
      <c r="E38" s="25">
        <v>83.0</v>
      </c>
      <c r="F38" s="5">
        <f>sum(G38+N38+Q38)+111</f>
        <v>9661</v>
      </c>
      <c r="G38" s="25">
        <v>9000.0</v>
      </c>
      <c r="H38" s="25">
        <v>6238.0</v>
      </c>
      <c r="I38" s="5">
        <f t="shared" si="16"/>
        <v>15899</v>
      </c>
      <c r="J38" s="5">
        <f>+77+99+45+25+90+45+42+37</f>
        <v>460</v>
      </c>
      <c r="K38" s="25">
        <v>15462.0</v>
      </c>
      <c r="L38" s="5">
        <f t="shared" si="17"/>
        <v>15922</v>
      </c>
      <c r="M38" s="5">
        <f t="shared" ref="M38:M39" si="21">I38-L38</f>
        <v>-23</v>
      </c>
      <c r="N38" s="25">
        <v>20.0</v>
      </c>
      <c r="O38" s="7"/>
      <c r="P38" s="8"/>
      <c r="Q38" s="5">
        <f>300+130+100</f>
        <v>530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24">
        <v>46033.0</v>
      </c>
      <c r="B39" s="25" t="s">
        <v>29</v>
      </c>
      <c r="C39" s="25">
        <v>1000.0</v>
      </c>
      <c r="D39" s="26" t="str">
        <f t="shared" si="15"/>
        <v>#DIV/0!</v>
      </c>
      <c r="E39" s="25">
        <v>0.0</v>
      </c>
      <c r="F39" s="5">
        <f>sum(G39+N39+Q39)</f>
        <v>0</v>
      </c>
      <c r="G39" s="5">
        <v>0.0</v>
      </c>
      <c r="H39" s="5">
        <v>0.0</v>
      </c>
      <c r="I39" s="5">
        <f t="shared" si="16"/>
        <v>0</v>
      </c>
      <c r="J39" s="5">
        <v>0.0</v>
      </c>
      <c r="K39" s="5">
        <v>0.0</v>
      </c>
      <c r="L39" s="5">
        <f t="shared" si="17"/>
        <v>0</v>
      </c>
      <c r="M39" s="5">
        <f t="shared" si="21"/>
        <v>0</v>
      </c>
      <c r="N39" s="5">
        <v>0.0</v>
      </c>
      <c r="O39" s="7">
        <v>0.0</v>
      </c>
      <c r="P39" s="8"/>
      <c r="Q39" s="5">
        <v>0.0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24">
        <v>46034.0</v>
      </c>
      <c r="B40" s="25" t="s">
        <v>30</v>
      </c>
      <c r="C40" s="25">
        <v>1000.0</v>
      </c>
      <c r="D40" s="26">
        <f t="shared" si="15"/>
        <v>243.1532258</v>
      </c>
      <c r="E40" s="25">
        <v>124.0</v>
      </c>
      <c r="F40" s="5">
        <f>sum(G40+N40+Q40)+84+1775</f>
        <v>19839</v>
      </c>
      <c r="G40" s="5">
        <f>1000+2400+14500</f>
        <v>17900</v>
      </c>
      <c r="H40" s="25">
        <v>10080.0</v>
      </c>
      <c r="I40" s="5">
        <f t="shared" si="16"/>
        <v>29919</v>
      </c>
      <c r="J40" s="5">
        <f>10+99+10+88+640</f>
        <v>847</v>
      </c>
      <c r="K40" s="25">
        <v>29304.0</v>
      </c>
      <c r="L40" s="5">
        <f t="shared" si="17"/>
        <v>30151</v>
      </c>
      <c r="M40" s="5">
        <f>I40-L40+177</f>
        <v>-55</v>
      </c>
      <c r="N40" s="5">
        <f>-10+20</f>
        <v>10</v>
      </c>
      <c r="O40" s="27" t="s">
        <v>43</v>
      </c>
      <c r="P40" s="8"/>
      <c r="Q40" s="5">
        <f>30+30+10</f>
        <v>70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24">
        <v>46035.0</v>
      </c>
      <c r="B41" s="25" t="s">
        <v>32</v>
      </c>
      <c r="C41" s="25">
        <v>1000.0</v>
      </c>
      <c r="D41" s="26">
        <f t="shared" si="15"/>
        <v>194.4615385</v>
      </c>
      <c r="E41" s="25">
        <v>104.0</v>
      </c>
      <c r="F41" s="5">
        <f>sum(G41+N41+Q41)-267+173</f>
        <v>12724</v>
      </c>
      <c r="G41" s="25">
        <v>1200.0</v>
      </c>
      <c r="H41" s="25">
        <v>7550.0</v>
      </c>
      <c r="I41" s="5">
        <f t="shared" si="16"/>
        <v>20274</v>
      </c>
      <c r="J41" s="5">
        <f>+50+112+59</f>
        <v>221</v>
      </c>
      <c r="K41" s="25">
        <v>20003.0</v>
      </c>
      <c r="L41" s="5">
        <f t="shared" si="17"/>
        <v>20224</v>
      </c>
      <c r="M41" s="5">
        <f>I41-L41+38</f>
        <v>88</v>
      </c>
      <c r="N41" s="5">
        <f>-20+8</f>
        <v>-12</v>
      </c>
      <c r="O41" s="27" t="s">
        <v>44</v>
      </c>
      <c r="P41" s="8"/>
      <c r="Q41" s="5">
        <f>10000+30+1600</f>
        <v>11630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24">
        <v>46036.0</v>
      </c>
      <c r="B42" s="25" t="s">
        <v>33</v>
      </c>
      <c r="C42" s="25">
        <v>1000.0</v>
      </c>
      <c r="D42" s="26">
        <f t="shared" si="15"/>
        <v>159.85</v>
      </c>
      <c r="E42" s="25">
        <v>20.0</v>
      </c>
      <c r="F42" s="5">
        <f>sum(G42+N42+Q42)+200</f>
        <v>2256</v>
      </c>
      <c r="G42" s="25">
        <v>2100.0</v>
      </c>
      <c r="H42" s="25">
        <f>863+43</f>
        <v>906</v>
      </c>
      <c r="I42" s="5">
        <f t="shared" si="16"/>
        <v>3162</v>
      </c>
      <c r="J42" s="5">
        <f>+11</f>
        <v>11</v>
      </c>
      <c r="K42" s="25">
        <f>3143+43</f>
        <v>3186</v>
      </c>
      <c r="L42" s="5">
        <f t="shared" si="17"/>
        <v>3197</v>
      </c>
      <c r="M42" s="5">
        <f t="shared" ref="M42:M44" si="22">I42-L42</f>
        <v>-35</v>
      </c>
      <c r="N42" s="5">
        <f>-7-50-20+3</f>
        <v>-74</v>
      </c>
      <c r="Q42" s="25">
        <v>30.0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24">
        <v>46037.0</v>
      </c>
      <c r="B43" s="25" t="s">
        <v>25</v>
      </c>
      <c r="C43" s="25">
        <v>1000.0</v>
      </c>
      <c r="D43" s="26">
        <f t="shared" si="15"/>
        <v>207.0967742</v>
      </c>
      <c r="E43" s="25">
        <v>124.0</v>
      </c>
      <c r="F43" s="5">
        <f>sum(G43+N43+Q43)+1720+94-130</f>
        <v>13854</v>
      </c>
      <c r="G43" s="25">
        <v>11500.0</v>
      </c>
      <c r="H43" s="25">
        <v>11907.0</v>
      </c>
      <c r="I43" s="5">
        <f t="shared" si="16"/>
        <v>25761</v>
      </c>
      <c r="J43" s="25">
        <v>409.0</v>
      </c>
      <c r="K43" s="25">
        <v>25271.0</v>
      </c>
      <c r="L43" s="5">
        <f t="shared" si="17"/>
        <v>25680</v>
      </c>
      <c r="M43" s="5">
        <f t="shared" si="22"/>
        <v>81</v>
      </c>
      <c r="N43" s="25"/>
      <c r="O43" s="27" t="s">
        <v>45</v>
      </c>
      <c r="P43" s="8"/>
      <c r="Q43" s="25">
        <v>670.0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24">
        <v>46038.0</v>
      </c>
      <c r="B44" s="25" t="s">
        <v>27</v>
      </c>
      <c r="C44" s="25">
        <v>1000.0</v>
      </c>
      <c r="D44" s="26">
        <f t="shared" si="15"/>
        <v>161.2083333</v>
      </c>
      <c r="E44" s="25">
        <v>96.0</v>
      </c>
      <c r="F44" s="5">
        <f>sum(G44+N44+Q44)-1720+63+66</f>
        <v>11071</v>
      </c>
      <c r="G44" s="25">
        <v>12600.0</v>
      </c>
      <c r="H44" s="25">
        <v>4469.0</v>
      </c>
      <c r="I44" s="5">
        <f t="shared" si="16"/>
        <v>15540</v>
      </c>
      <c r="J44" s="5">
        <f>+99+25+50</f>
        <v>174</v>
      </c>
      <c r="K44" s="25">
        <v>15302.0</v>
      </c>
      <c r="L44" s="5">
        <f t="shared" si="17"/>
        <v>15476</v>
      </c>
      <c r="M44" s="5">
        <f t="shared" si="22"/>
        <v>64</v>
      </c>
      <c r="N44" s="25">
        <f>-30-5-20-20+50+7</f>
        <v>-18</v>
      </c>
      <c r="O44" s="27" t="s">
        <v>46</v>
      </c>
      <c r="P44" s="8"/>
      <c r="Q44" s="25">
        <v>80.0</v>
      </c>
      <c r="R44" s="9"/>
      <c r="S44" s="9"/>
      <c r="T44" s="9">
        <f>sum(L6:L86)</f>
        <v>1057849</v>
      </c>
      <c r="U44" s="9"/>
      <c r="V44" s="9"/>
      <c r="W44" s="9"/>
      <c r="X44" s="9"/>
      <c r="Y44" s="9"/>
      <c r="Z44" s="9"/>
      <c r="AA44" s="9"/>
      <c r="AB44" s="9"/>
    </row>
    <row r="45">
      <c r="A45" s="24">
        <v>46039.0</v>
      </c>
      <c r="B45" s="25" t="s">
        <v>28</v>
      </c>
      <c r="C45" s="25">
        <v>1000.0</v>
      </c>
      <c r="D45" s="26">
        <f t="shared" si="15"/>
        <v>170.1666667</v>
      </c>
      <c r="E45" s="25">
        <v>102.0</v>
      </c>
      <c r="F45" s="5">
        <f>sum(G45+N45+Q45)-133</f>
        <v>10272</v>
      </c>
      <c r="G45" s="25">
        <v>10400.0</v>
      </c>
      <c r="H45" s="25">
        <v>7294.0</v>
      </c>
      <c r="I45" s="5">
        <f t="shared" si="16"/>
        <v>17566</v>
      </c>
      <c r="J45" s="5">
        <f>+41+50+40+76</f>
        <v>207</v>
      </c>
      <c r="K45" s="25">
        <v>17150.0</v>
      </c>
      <c r="L45" s="5">
        <f t="shared" si="17"/>
        <v>17357</v>
      </c>
      <c r="M45" s="5">
        <f>I45-L45-58</f>
        <v>151</v>
      </c>
      <c r="N45" s="5">
        <f>-50-5-20-20-20-20+60</f>
        <v>-75</v>
      </c>
      <c r="O45" s="27" t="s">
        <v>47</v>
      </c>
      <c r="P45" s="8"/>
      <c r="Q45" s="25">
        <v>80.0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24">
        <v>46040.0</v>
      </c>
      <c r="B46" s="25" t="s">
        <v>29</v>
      </c>
      <c r="C46" s="25">
        <v>1000.0</v>
      </c>
      <c r="D46" s="26" t="str">
        <f t="shared" si="15"/>
        <v>#DIV/0!</v>
      </c>
      <c r="E46" s="25">
        <v>0.0</v>
      </c>
      <c r="F46" s="5">
        <f t="shared" ref="F46:F47" si="23">sum(G46+N46+Q46)</f>
        <v>0</v>
      </c>
      <c r="G46" s="5">
        <v>0.0</v>
      </c>
      <c r="H46" s="5">
        <v>0.0</v>
      </c>
      <c r="I46" s="5">
        <f t="shared" si="16"/>
        <v>0</v>
      </c>
      <c r="J46" s="5">
        <v>0.0</v>
      </c>
      <c r="K46" s="5">
        <v>0.0</v>
      </c>
      <c r="L46" s="5">
        <f t="shared" si="17"/>
        <v>0</v>
      </c>
      <c r="M46" s="5">
        <f t="shared" ref="M46:M51" si="24">I46-L46</f>
        <v>0</v>
      </c>
      <c r="N46" s="5">
        <v>0.0</v>
      </c>
      <c r="O46" s="7">
        <v>0.0</v>
      </c>
      <c r="P46" s="8"/>
      <c r="Q46" s="5">
        <v>0.0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24">
        <v>46041.0</v>
      </c>
      <c r="B47" s="25" t="s">
        <v>30</v>
      </c>
      <c r="C47" s="25">
        <v>1000.0</v>
      </c>
      <c r="D47" s="26">
        <f t="shared" si="15"/>
        <v>221.2317073</v>
      </c>
      <c r="E47" s="25">
        <v>82.0</v>
      </c>
      <c r="F47" s="5">
        <f t="shared" si="23"/>
        <v>13569</v>
      </c>
      <c r="G47" s="25">
        <v>13100.0</v>
      </c>
      <c r="H47" s="25">
        <v>4614.0</v>
      </c>
      <c r="I47" s="5">
        <f t="shared" si="16"/>
        <v>18183</v>
      </c>
      <c r="J47" s="5">
        <f>175</f>
        <v>175</v>
      </c>
      <c r="K47" s="25">
        <v>17966.0</v>
      </c>
      <c r="L47" s="5">
        <f t="shared" si="17"/>
        <v>18141</v>
      </c>
      <c r="M47" s="5">
        <f t="shared" si="24"/>
        <v>42</v>
      </c>
      <c r="N47" s="25">
        <f>-70+284-150-120+20-60+100-40</f>
        <v>-36</v>
      </c>
      <c r="O47" s="7"/>
      <c r="P47" s="8"/>
      <c r="Q47" s="5">
        <f>475+30</f>
        <v>505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24">
        <v>46042.0</v>
      </c>
      <c r="B48" s="25" t="s">
        <v>32</v>
      </c>
      <c r="C48" s="25">
        <v>1000.0</v>
      </c>
      <c r="D48" s="26">
        <f t="shared" si="15"/>
        <v>167.3</v>
      </c>
      <c r="E48" s="25">
        <v>90.0</v>
      </c>
      <c r="F48" s="5">
        <f>sum(G48+N48+Q48)+131+44+50</f>
        <v>7817</v>
      </c>
      <c r="G48" s="25">
        <v>7000.0</v>
      </c>
      <c r="H48" s="25">
        <v>7183.0</v>
      </c>
      <c r="I48" s="5">
        <f t="shared" si="16"/>
        <v>15000</v>
      </c>
      <c r="J48" s="25">
        <f>34+10</f>
        <v>44</v>
      </c>
      <c r="K48" s="25">
        <v>15013.0</v>
      </c>
      <c r="L48" s="5">
        <f t="shared" si="17"/>
        <v>15057</v>
      </c>
      <c r="M48" s="5">
        <f t="shared" si="24"/>
        <v>-57</v>
      </c>
      <c r="N48" s="5">
        <f>-5-10-3-40-10-20-20+400-50+220</f>
        <v>462</v>
      </c>
      <c r="O48" s="7"/>
      <c r="P48" s="8"/>
      <c r="Q48" s="25">
        <v>130.0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24">
        <v>46043.0</v>
      </c>
      <c r="B49" s="25" t="s">
        <v>33</v>
      </c>
      <c r="C49" s="25">
        <v>1000.0</v>
      </c>
      <c r="D49" s="26">
        <f t="shared" si="15"/>
        <v>180.0106383</v>
      </c>
      <c r="E49" s="25">
        <v>94.0</v>
      </c>
      <c r="F49" s="5">
        <f>sum(G49+N49+Q49)+356</f>
        <v>10597</v>
      </c>
      <c r="G49" s="25">
        <v>10200.0</v>
      </c>
      <c r="H49" s="25">
        <v>6300.0</v>
      </c>
      <c r="I49" s="5">
        <f t="shared" si="16"/>
        <v>16897</v>
      </c>
      <c r="J49" s="5">
        <f>124+50+10</f>
        <v>184</v>
      </c>
      <c r="K49" s="25">
        <v>16737.0</v>
      </c>
      <c r="L49" s="5">
        <f t="shared" si="17"/>
        <v>16921</v>
      </c>
      <c r="M49" s="5">
        <f t="shared" si="24"/>
        <v>-24</v>
      </c>
      <c r="N49" s="5">
        <f>-20-50-50-25+23+40-7</f>
        <v>-89</v>
      </c>
      <c r="O49" s="7"/>
      <c r="P49" s="8"/>
      <c r="Q49" s="25">
        <v>130.0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24">
        <v>46044.0</v>
      </c>
      <c r="B50" s="25" t="s">
        <v>25</v>
      </c>
      <c r="C50" s="25">
        <v>1000.0</v>
      </c>
      <c r="D50" s="26">
        <f t="shared" si="15"/>
        <v>131.7179487</v>
      </c>
      <c r="E50" s="25">
        <v>78.0</v>
      </c>
      <c r="F50" s="5">
        <f>sum(G50+N50+Q50)-187+94</f>
        <v>7603</v>
      </c>
      <c r="G50" s="25">
        <v>6800.0</v>
      </c>
      <c r="H50" s="25">
        <v>2793.0</v>
      </c>
      <c r="I50" s="5">
        <f t="shared" si="16"/>
        <v>10396</v>
      </c>
      <c r="J50" s="5">
        <f>+38+79+65</f>
        <v>182</v>
      </c>
      <c r="K50" s="25">
        <v>10092.0</v>
      </c>
      <c r="L50" s="5">
        <f t="shared" si="17"/>
        <v>10274</v>
      </c>
      <c r="M50" s="5">
        <f t="shared" si="24"/>
        <v>122</v>
      </c>
      <c r="N50" s="5">
        <f>-6-20-40-40-50+12-30+50</f>
        <v>-124</v>
      </c>
      <c r="O50" s="7"/>
      <c r="P50" s="8"/>
      <c r="Q50" s="5">
        <f>+990+30</f>
        <v>1020</v>
      </c>
      <c r="R50" s="9"/>
      <c r="S50" s="9"/>
      <c r="T50" s="9">
        <f>sum(J29:J55)</f>
        <v>6543</v>
      </c>
      <c r="U50" s="9"/>
      <c r="V50" s="9"/>
      <c r="W50" s="9"/>
      <c r="X50" s="9"/>
      <c r="Y50" s="9"/>
      <c r="Z50" s="9"/>
      <c r="AA50" s="9"/>
      <c r="AB50" s="9"/>
    </row>
    <row r="51">
      <c r="A51" s="24">
        <v>46045.0</v>
      </c>
      <c r="B51" s="25" t="s">
        <v>27</v>
      </c>
      <c r="C51" s="25">
        <v>1000.0</v>
      </c>
      <c r="D51" s="26">
        <f t="shared" si="15"/>
        <v>101.6428571</v>
      </c>
      <c r="E51" s="25">
        <v>14.0</v>
      </c>
      <c r="F51" s="5">
        <f>sum(G51+N51+Q51)+394</f>
        <v>1441</v>
      </c>
      <c r="G51" s="25">
        <v>900.0</v>
      </c>
      <c r="H51" s="25">
        <v>350.0</v>
      </c>
      <c r="I51" s="5">
        <f t="shared" si="16"/>
        <v>1791</v>
      </c>
      <c r="J51" s="25">
        <v>2.0</v>
      </c>
      <c r="K51" s="25">
        <v>1421.0</v>
      </c>
      <c r="L51" s="5">
        <f t="shared" si="17"/>
        <v>1423</v>
      </c>
      <c r="M51" s="5">
        <f t="shared" si="24"/>
        <v>368</v>
      </c>
      <c r="N51" s="5">
        <f>117</f>
        <v>117</v>
      </c>
      <c r="O51" s="27" t="s">
        <v>48</v>
      </c>
      <c r="P51" s="8"/>
      <c r="Q51" s="25">
        <v>30.0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24">
        <v>46046.0</v>
      </c>
      <c r="B52" s="25" t="s">
        <v>28</v>
      </c>
      <c r="C52" s="25">
        <v>1000.0</v>
      </c>
      <c r="D52" s="26">
        <f t="shared" si="15"/>
        <v>169.2926829</v>
      </c>
      <c r="E52" s="25">
        <v>82.0</v>
      </c>
      <c r="F52" s="5">
        <f>sum(G52+N52+Q52)-311-394</f>
        <v>7188</v>
      </c>
      <c r="G52" s="25">
        <v>7900.0</v>
      </c>
      <c r="H52" s="25">
        <v>6172.0</v>
      </c>
      <c r="I52" s="5">
        <f t="shared" si="16"/>
        <v>13360</v>
      </c>
      <c r="J52" s="5">
        <f>+27+220++21</f>
        <v>268</v>
      </c>
      <c r="K52" s="25">
        <v>13614.0</v>
      </c>
      <c r="L52" s="5">
        <f t="shared" si="17"/>
        <v>13882</v>
      </c>
      <c r="M52" s="5">
        <f>I52-L52+444</f>
        <v>-78</v>
      </c>
      <c r="N52" s="5">
        <f>-50-50-50-20+11+50+32</f>
        <v>-77</v>
      </c>
      <c r="O52" s="27" t="s">
        <v>49</v>
      </c>
      <c r="P52" s="8"/>
      <c r="Q52" s="5">
        <f>+30+40</f>
        <v>70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24">
        <v>46047.0</v>
      </c>
      <c r="B53" s="25" t="s">
        <v>29</v>
      </c>
      <c r="C53" s="25">
        <v>1000.0</v>
      </c>
      <c r="D53" s="26">
        <f t="shared" si="15"/>
        <v>152.6666667</v>
      </c>
      <c r="E53" s="25">
        <v>27.0</v>
      </c>
      <c r="F53" s="5">
        <f>sum(G53+N53+Q53)+61</f>
        <v>3376</v>
      </c>
      <c r="G53" s="25">
        <v>3400.0</v>
      </c>
      <c r="H53" s="25">
        <v>760.0</v>
      </c>
      <c r="I53" s="5">
        <f t="shared" si="16"/>
        <v>4136</v>
      </c>
      <c r="J53" s="25">
        <f>20+15+5</f>
        <v>40</v>
      </c>
      <c r="K53" s="25">
        <v>4082.0</v>
      </c>
      <c r="L53" s="5">
        <f t="shared" si="17"/>
        <v>4122</v>
      </c>
      <c r="M53" s="5">
        <f>I53-L53</f>
        <v>14</v>
      </c>
      <c r="N53" s="5">
        <f>-70-30-30-5-60+10-30+50+50</f>
        <v>-115</v>
      </c>
      <c r="O53" s="27">
        <v>0.0</v>
      </c>
      <c r="P53" s="8"/>
      <c r="Q53" s="25">
        <v>30.0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24">
        <v>46048.0</v>
      </c>
      <c r="B54" s="25" t="s">
        <v>30</v>
      </c>
      <c r="C54" s="25">
        <v>1000.0</v>
      </c>
      <c r="D54" s="26">
        <f t="shared" si="15"/>
        <v>177.9358974</v>
      </c>
      <c r="E54" s="25">
        <v>78.0</v>
      </c>
      <c r="F54" s="5">
        <f t="shared" ref="F54:F55" si="25">sum(G54+N54+Q54)</f>
        <v>8867</v>
      </c>
      <c r="G54" s="5">
        <f>600+8500</f>
        <v>9100</v>
      </c>
      <c r="H54" s="25">
        <v>5501.0</v>
      </c>
      <c r="I54" s="5">
        <f t="shared" si="16"/>
        <v>14368</v>
      </c>
      <c r="J54" s="5">
        <f>70+60</f>
        <v>130</v>
      </c>
      <c r="K54" s="25">
        <v>13749.0</v>
      </c>
      <c r="L54" s="5">
        <f t="shared" si="17"/>
        <v>13879</v>
      </c>
      <c r="M54" s="5">
        <f>I54-L54-335</f>
        <v>154</v>
      </c>
      <c r="N54" s="5">
        <f>-50-50-12-60-3-50-100+32</f>
        <v>-293</v>
      </c>
      <c r="O54" s="27" t="s">
        <v>50</v>
      </c>
      <c r="P54" s="8"/>
      <c r="Q54" s="25">
        <v>60.0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24">
        <v>46049.0</v>
      </c>
      <c r="B55" s="25" t="s">
        <v>32</v>
      </c>
      <c r="C55" s="25">
        <v>1000.0</v>
      </c>
      <c r="D55" s="26">
        <f t="shared" si="15"/>
        <v>182.3762376</v>
      </c>
      <c r="E55" s="25">
        <v>101.0</v>
      </c>
      <c r="F55" s="5">
        <f t="shared" si="25"/>
        <v>11624</v>
      </c>
      <c r="G55" s="5">
        <f>2700+6000</f>
        <v>8700</v>
      </c>
      <c r="H55" s="25">
        <v>6688.0</v>
      </c>
      <c r="I55" s="5">
        <f t="shared" si="16"/>
        <v>18312</v>
      </c>
      <c r="J55" s="5">
        <f>1460+70</f>
        <v>1530</v>
      </c>
      <c r="K55" s="25">
        <v>16890.0</v>
      </c>
      <c r="L55" s="5">
        <f t="shared" si="17"/>
        <v>18420</v>
      </c>
      <c r="M55" s="5">
        <f>I55-L55+335-50</f>
        <v>177</v>
      </c>
      <c r="N55" s="25">
        <f>-40-30-5-50-50+69</f>
        <v>-106</v>
      </c>
      <c r="O55" s="27" t="s">
        <v>51</v>
      </c>
      <c r="P55" s="8"/>
      <c r="Q55" s="5">
        <f>3030</f>
        <v>3030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24">
        <v>46050.0</v>
      </c>
      <c r="B56" s="25" t="s">
        <v>33</v>
      </c>
      <c r="C56" s="25">
        <v>1000.0</v>
      </c>
      <c r="D56" s="26">
        <f t="shared" si="15"/>
        <v>178.13</v>
      </c>
      <c r="E56" s="25">
        <v>100.0</v>
      </c>
      <c r="F56" s="5">
        <f>sum(G56+N56+Q56)-163</f>
        <v>11003</v>
      </c>
      <c r="G56" s="25">
        <v>9600.0</v>
      </c>
      <c r="H56" s="25">
        <v>6556.0</v>
      </c>
      <c r="I56" s="5">
        <f t="shared" si="16"/>
        <v>17559</v>
      </c>
      <c r="J56" s="5">
        <f>70+23</f>
        <v>93</v>
      </c>
      <c r="K56" s="25">
        <v>17720.0</v>
      </c>
      <c r="L56" s="5">
        <f t="shared" si="17"/>
        <v>17813</v>
      </c>
      <c r="M56" s="5">
        <f>I56-L56+330</f>
        <v>76</v>
      </c>
      <c r="N56" s="5">
        <f>-20-6-20+300+27</f>
        <v>281</v>
      </c>
      <c r="O56" s="27" t="s">
        <v>52</v>
      </c>
      <c r="P56" s="8"/>
      <c r="Q56" s="5">
        <f>500+755+30</f>
        <v>1285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24">
        <v>46051.0</v>
      </c>
      <c r="B57" s="25" t="s">
        <v>25</v>
      </c>
      <c r="C57" s="25">
        <v>1000.0</v>
      </c>
      <c r="D57" s="26">
        <f t="shared" si="15"/>
        <v>199.7563025</v>
      </c>
      <c r="E57" s="25">
        <v>119.0</v>
      </c>
      <c r="F57" s="5">
        <f>sum(G57+N57+Q57)+281</f>
        <v>17494</v>
      </c>
      <c r="G57" s="25">
        <v>16500.0</v>
      </c>
      <c r="H57" s="25">
        <v>6275.0</v>
      </c>
      <c r="I57" s="5">
        <f t="shared" si="16"/>
        <v>23769</v>
      </c>
      <c r="J57" s="5">
        <f>94+10+52+52+60</f>
        <v>268</v>
      </c>
      <c r="K57" s="25">
        <v>23503.0</v>
      </c>
      <c r="L57" s="5">
        <f t="shared" si="17"/>
        <v>23771</v>
      </c>
      <c r="M57" s="5">
        <f>I57-L57</f>
        <v>-2</v>
      </c>
      <c r="N57" s="25">
        <f>-40+73</f>
        <v>33</v>
      </c>
      <c r="O57" s="27"/>
      <c r="P57" s="8"/>
      <c r="Q57" s="5">
        <f>+30+500+150</f>
        <v>680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24">
        <v>46052.0</v>
      </c>
      <c r="B58" s="25" t="s">
        <v>27</v>
      </c>
      <c r="C58" s="25">
        <v>1000.0</v>
      </c>
      <c r="D58" s="26">
        <f t="shared" si="15"/>
        <v>208.5631068</v>
      </c>
      <c r="E58" s="25">
        <v>103.0</v>
      </c>
      <c r="F58" s="5">
        <f>sum(G58+N58+Q58)-26</f>
        <v>12261</v>
      </c>
      <c r="G58" s="25">
        <v>12000.0</v>
      </c>
      <c r="H58" s="25">
        <v>8594.0</v>
      </c>
      <c r="I58" s="5">
        <f t="shared" si="16"/>
        <v>20855</v>
      </c>
      <c r="J58" s="5">
        <f>5+1281</f>
        <v>1286</v>
      </c>
      <c r="K58" s="25">
        <v>20196.0</v>
      </c>
      <c r="L58" s="5">
        <f t="shared" si="17"/>
        <v>21482</v>
      </c>
      <c r="M58" s="5">
        <f>I58-L58+778</f>
        <v>151</v>
      </c>
      <c r="N58" s="5">
        <f>-20-45-10-2-6-50-50-30-30</f>
        <v>-243</v>
      </c>
      <c r="O58" s="27"/>
      <c r="P58" s="8"/>
      <c r="Q58" s="25">
        <v>530.0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24">
        <v>46053.0</v>
      </c>
      <c r="B59" s="25" t="s">
        <v>28</v>
      </c>
      <c r="C59" s="25">
        <v>1000.0</v>
      </c>
      <c r="D59" s="26">
        <f t="shared" si="15"/>
        <v>262.1882353</v>
      </c>
      <c r="E59" s="25">
        <v>85.0</v>
      </c>
      <c r="F59" s="5">
        <f>sum(G59+N59+Q59)-500</f>
        <v>13336</v>
      </c>
      <c r="G59" s="25">
        <v>13500.0</v>
      </c>
      <c r="H59" s="25">
        <v>9038.0</v>
      </c>
      <c r="I59" s="5">
        <f t="shared" si="16"/>
        <v>22374</v>
      </c>
      <c r="J59" s="25">
        <v>42.0</v>
      </c>
      <c r="K59" s="25">
        <v>22244.0</v>
      </c>
      <c r="L59" s="5">
        <f t="shared" si="17"/>
        <v>22286</v>
      </c>
      <c r="M59" s="5">
        <f>I59-L59</f>
        <v>88</v>
      </c>
      <c r="N59" s="5">
        <f>-100+96+340</f>
        <v>336</v>
      </c>
      <c r="O59" s="27" t="s">
        <v>53</v>
      </c>
      <c r="P59" s="8"/>
      <c r="Q59" s="5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8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24">
        <v>46054.0</v>
      </c>
      <c r="B61" s="25" t="s">
        <v>29</v>
      </c>
      <c r="C61" s="25">
        <v>1000.0</v>
      </c>
      <c r="D61" s="26">
        <f t="shared" ref="D61:D418" si="26">L61/E61</f>
        <v>207.3392857</v>
      </c>
      <c r="E61" s="25">
        <v>56.0</v>
      </c>
      <c r="F61" s="5">
        <f>sum(G61+N61+Q61)-400+84</f>
        <v>4089</v>
      </c>
      <c r="G61" s="25">
        <v>4400.0</v>
      </c>
      <c r="H61" s="25">
        <v>7897.0</v>
      </c>
      <c r="I61" s="5">
        <f t="shared" ref="I61:I63" si="27">H61+F61</f>
        <v>11986</v>
      </c>
      <c r="J61" s="5">
        <f>+12+312+60+656+49</f>
        <v>1089</v>
      </c>
      <c r="K61" s="25">
        <v>10522.0</v>
      </c>
      <c r="L61" s="5">
        <f t="shared" ref="L61:L367" si="28">J61+K61</f>
        <v>11611</v>
      </c>
      <c r="M61" s="5">
        <f t="shared" ref="M61:M62" si="29">I61-L61</f>
        <v>375</v>
      </c>
      <c r="N61" s="25">
        <v>-105.0</v>
      </c>
      <c r="O61" s="27">
        <v>0.0</v>
      </c>
      <c r="P61" s="8"/>
      <c r="Q61" s="5">
        <f>110</f>
        <v>110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24">
        <v>46055.0</v>
      </c>
      <c r="B62" s="25" t="s">
        <v>30</v>
      </c>
      <c r="C62" s="25">
        <v>1000.0</v>
      </c>
      <c r="D62" s="26">
        <f t="shared" si="26"/>
        <v>191.0769231</v>
      </c>
      <c r="E62" s="25">
        <v>117.0</v>
      </c>
      <c r="F62" s="5">
        <f t="shared" ref="F62:F367" si="30">sum(G62+N62+Q62)</f>
        <v>12745</v>
      </c>
      <c r="G62" s="25">
        <f>2900+1600+4000+2500</f>
        <v>11000</v>
      </c>
      <c r="H62" s="25">
        <v>9900.0</v>
      </c>
      <c r="I62" s="5">
        <f t="shared" si="27"/>
        <v>22645</v>
      </c>
      <c r="J62" s="25">
        <f>20+66</f>
        <v>86</v>
      </c>
      <c r="K62" s="25">
        <v>22270.0</v>
      </c>
      <c r="L62" s="5">
        <f t="shared" si="28"/>
        <v>22356</v>
      </c>
      <c r="M62" s="5">
        <f t="shared" si="29"/>
        <v>289</v>
      </c>
      <c r="N62" s="25">
        <v>215.0</v>
      </c>
      <c r="O62" s="7"/>
      <c r="P62" s="8"/>
      <c r="Q62" s="5">
        <f>30+4000-2500</f>
        <v>1530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24">
        <v>46056.0</v>
      </c>
      <c r="B63" s="25" t="s">
        <v>32</v>
      </c>
      <c r="C63" s="25">
        <v>1000.0</v>
      </c>
      <c r="D63" s="26">
        <f t="shared" si="26"/>
        <v>261.6132075</v>
      </c>
      <c r="E63" s="25">
        <v>106.0</v>
      </c>
      <c r="F63" s="5">
        <f t="shared" si="30"/>
        <v>14620</v>
      </c>
      <c r="G63" s="25">
        <f>12000+1300</f>
        <v>13300</v>
      </c>
      <c r="H63" s="25">
        <v>13118.0</v>
      </c>
      <c r="I63" s="5">
        <f t="shared" si="27"/>
        <v>27738</v>
      </c>
      <c r="J63" s="5">
        <f>56+66+50</f>
        <v>172</v>
      </c>
      <c r="K63" s="25">
        <v>27559.0</v>
      </c>
      <c r="L63" s="5">
        <f t="shared" si="28"/>
        <v>27731</v>
      </c>
      <c r="M63" s="5">
        <f>I63-L63+30</f>
        <v>37</v>
      </c>
      <c r="N63" s="25">
        <f>-40+220</f>
        <v>180</v>
      </c>
      <c r="O63" s="27"/>
      <c r="P63" s="8"/>
      <c r="Q63" s="25">
        <f>1100+40</f>
        <v>1140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24">
        <v>46057.0</v>
      </c>
      <c r="B64" s="25" t="s">
        <v>33</v>
      </c>
      <c r="C64" s="25">
        <v>1000.0</v>
      </c>
      <c r="D64" s="26">
        <f t="shared" si="26"/>
        <v>292.9333333</v>
      </c>
      <c r="E64" s="25">
        <v>75.0</v>
      </c>
      <c r="F64" s="5">
        <f t="shared" si="30"/>
        <v>13458</v>
      </c>
      <c r="G64" s="25">
        <v>13500.0</v>
      </c>
      <c r="H64" s="25">
        <f>12632</f>
        <v>12632</v>
      </c>
      <c r="I64" s="5">
        <f>H64+F64-4030</f>
        <v>22060</v>
      </c>
      <c r="J64" s="5">
        <f>50</f>
        <v>50</v>
      </c>
      <c r="K64" s="25">
        <v>21920.0</v>
      </c>
      <c r="L64" s="5">
        <f t="shared" si="28"/>
        <v>21970</v>
      </c>
      <c r="M64" s="5">
        <f t="shared" ref="M64:M481" si="31">I64-L64</f>
        <v>90</v>
      </c>
      <c r="N64" s="25">
        <v>-42.0</v>
      </c>
      <c r="O64" s="27" t="s">
        <v>54</v>
      </c>
      <c r="P64" s="8"/>
      <c r="Q64" s="5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24">
        <v>46058.0</v>
      </c>
      <c r="B65" s="25" t="s">
        <v>25</v>
      </c>
      <c r="C65" s="25">
        <v>1000.0</v>
      </c>
      <c r="D65" s="26">
        <f t="shared" si="26"/>
        <v>218.3545455</v>
      </c>
      <c r="E65" s="25">
        <v>110.0</v>
      </c>
      <c r="F65" s="5">
        <f t="shared" si="30"/>
        <v>15015</v>
      </c>
      <c r="G65" s="25">
        <v>12800.0</v>
      </c>
      <c r="H65" s="25">
        <v>9055.0</v>
      </c>
      <c r="I65" s="5">
        <f t="shared" ref="I65:I367" si="32">H65+F65</f>
        <v>24070</v>
      </c>
      <c r="J65" s="25">
        <v>30.0</v>
      </c>
      <c r="K65" s="25">
        <v>23989.0</v>
      </c>
      <c r="L65" s="5">
        <f t="shared" si="28"/>
        <v>24019</v>
      </c>
      <c r="M65" s="5">
        <f t="shared" si="31"/>
        <v>51</v>
      </c>
      <c r="N65" s="25">
        <v>-5.0</v>
      </c>
      <c r="O65" s="7"/>
      <c r="P65" s="8"/>
      <c r="Q65" s="5">
        <f>1140+1000+30+50</f>
        <v>2220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24">
        <v>46059.0</v>
      </c>
      <c r="B66" s="25" t="s">
        <v>27</v>
      </c>
      <c r="C66" s="25">
        <v>1000.0</v>
      </c>
      <c r="D66" s="26">
        <f t="shared" si="26"/>
        <v>193</v>
      </c>
      <c r="E66" s="25">
        <v>119.0</v>
      </c>
      <c r="F66" s="5">
        <f t="shared" si="30"/>
        <v>17214</v>
      </c>
      <c r="G66" s="25">
        <v>16900.0</v>
      </c>
      <c r="H66" s="25">
        <v>5763.0</v>
      </c>
      <c r="I66" s="5">
        <f t="shared" si="32"/>
        <v>22977</v>
      </c>
      <c r="J66" s="25">
        <f>81+106</f>
        <v>187</v>
      </c>
      <c r="K66" s="25">
        <v>22780.0</v>
      </c>
      <c r="L66" s="5">
        <f t="shared" si="28"/>
        <v>22967</v>
      </c>
      <c r="M66" s="5">
        <f t="shared" si="31"/>
        <v>10</v>
      </c>
      <c r="N66" s="5">
        <f>-15-5-10-6-10-10+340</f>
        <v>284</v>
      </c>
      <c r="O66" s="7"/>
      <c r="P66" s="8"/>
      <c r="Q66" s="5">
        <f>30</f>
        <v>30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24">
        <v>46060.0</v>
      </c>
      <c r="B67" s="25" t="s">
        <v>28</v>
      </c>
      <c r="C67" s="25">
        <v>1000.0</v>
      </c>
      <c r="D67" s="26">
        <f t="shared" si="26"/>
        <v>200.1869159</v>
      </c>
      <c r="E67" s="25">
        <v>107.0</v>
      </c>
      <c r="F67" s="5">
        <f t="shared" si="30"/>
        <v>16382</v>
      </c>
      <c r="G67" s="5">
        <f>14500+1400</f>
        <v>15900</v>
      </c>
      <c r="H67" s="25">
        <v>5013.0</v>
      </c>
      <c r="I67" s="5">
        <f t="shared" si="32"/>
        <v>21395</v>
      </c>
      <c r="J67" s="5">
        <f>+65</f>
        <v>65</v>
      </c>
      <c r="K67" s="25">
        <v>21355.0</v>
      </c>
      <c r="L67" s="5">
        <f t="shared" si="28"/>
        <v>21420</v>
      </c>
      <c r="M67" s="5">
        <f t="shared" si="31"/>
        <v>-25</v>
      </c>
      <c r="N67" s="5">
        <f>-65-15-20+32</f>
        <v>-68</v>
      </c>
      <c r="O67" s="7"/>
      <c r="P67" s="8"/>
      <c r="Q67" s="25">
        <v>550.0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24">
        <v>46061.0</v>
      </c>
      <c r="B68" s="25" t="s">
        <v>29</v>
      </c>
      <c r="C68" s="25">
        <v>1000.0</v>
      </c>
      <c r="D68" s="26">
        <f t="shared" si="26"/>
        <v>234.1384615</v>
      </c>
      <c r="E68" s="25">
        <v>65.0</v>
      </c>
      <c r="F68" s="5">
        <f t="shared" si="30"/>
        <v>8296</v>
      </c>
      <c r="G68" s="25">
        <v>8600.0</v>
      </c>
      <c r="H68" s="25">
        <v>6970.0</v>
      </c>
      <c r="I68" s="5">
        <f t="shared" si="32"/>
        <v>15266</v>
      </c>
      <c r="J68" s="5">
        <f>+18+145+6+69+28</f>
        <v>266</v>
      </c>
      <c r="K68" s="25">
        <v>14953.0</v>
      </c>
      <c r="L68" s="5">
        <f t="shared" si="28"/>
        <v>15219</v>
      </c>
      <c r="M68" s="5">
        <f t="shared" si="31"/>
        <v>47</v>
      </c>
      <c r="N68" s="25">
        <f>-305-20-20+11</f>
        <v>-334</v>
      </c>
      <c r="O68" s="27">
        <v>0.0</v>
      </c>
      <c r="P68" s="8"/>
      <c r="Q68" s="25">
        <v>30.0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24">
        <v>46062.0</v>
      </c>
      <c r="B69" s="25" t="s">
        <v>30</v>
      </c>
      <c r="C69" s="25">
        <v>1000.0</v>
      </c>
      <c r="D69" s="26" t="str">
        <f t="shared" si="26"/>
        <v>#DIV/0!</v>
      </c>
      <c r="E69" s="5"/>
      <c r="F69" s="5">
        <f t="shared" si="30"/>
        <v>0</v>
      </c>
      <c r="G69" s="5"/>
      <c r="H69" s="5"/>
      <c r="I69" s="5">
        <f t="shared" si="32"/>
        <v>0</v>
      </c>
      <c r="J69" s="5"/>
      <c r="K69" s="5"/>
      <c r="L69" s="5">
        <f t="shared" si="28"/>
        <v>0</v>
      </c>
      <c r="M69" s="5">
        <f t="shared" si="31"/>
        <v>0</v>
      </c>
      <c r="N69" s="5"/>
      <c r="O69" s="7"/>
      <c r="P69" s="8"/>
      <c r="Q69" s="5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24">
        <v>46063.0</v>
      </c>
      <c r="B70" s="25" t="s">
        <v>32</v>
      </c>
      <c r="C70" s="25">
        <v>1000.0</v>
      </c>
      <c r="D70" s="26" t="str">
        <f t="shared" si="26"/>
        <v>#DIV/0!</v>
      </c>
      <c r="E70" s="5"/>
      <c r="F70" s="5">
        <f t="shared" si="30"/>
        <v>0</v>
      </c>
      <c r="G70" s="5"/>
      <c r="H70" s="5"/>
      <c r="I70" s="5">
        <f t="shared" si="32"/>
        <v>0</v>
      </c>
      <c r="J70" s="5"/>
      <c r="K70" s="5"/>
      <c r="L70" s="5">
        <f t="shared" si="28"/>
        <v>0</v>
      </c>
      <c r="M70" s="5">
        <f t="shared" si="31"/>
        <v>0</v>
      </c>
      <c r="N70" s="5"/>
      <c r="O70" s="7"/>
      <c r="P70" s="8"/>
      <c r="Q70" s="5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24">
        <v>46064.0</v>
      </c>
      <c r="B71" s="25" t="s">
        <v>33</v>
      </c>
      <c r="C71" s="25">
        <v>1000.0</v>
      </c>
      <c r="D71" s="26" t="str">
        <f t="shared" si="26"/>
        <v>#DIV/0!</v>
      </c>
      <c r="E71" s="5"/>
      <c r="F71" s="5">
        <f t="shared" si="30"/>
        <v>0</v>
      </c>
      <c r="G71" s="5"/>
      <c r="H71" s="5"/>
      <c r="I71" s="5">
        <f t="shared" si="32"/>
        <v>0</v>
      </c>
      <c r="J71" s="5"/>
      <c r="K71" s="5"/>
      <c r="L71" s="5">
        <f t="shared" si="28"/>
        <v>0</v>
      </c>
      <c r="M71" s="5">
        <f t="shared" si="31"/>
        <v>0</v>
      </c>
      <c r="N71" s="5"/>
      <c r="O71" s="7"/>
      <c r="P71" s="8"/>
      <c r="Q71" s="5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24">
        <v>46065.0</v>
      </c>
      <c r="B72" s="25" t="s">
        <v>25</v>
      </c>
      <c r="C72" s="25">
        <v>1000.0</v>
      </c>
      <c r="D72" s="26" t="str">
        <f t="shared" si="26"/>
        <v>#DIV/0!</v>
      </c>
      <c r="E72" s="5"/>
      <c r="F72" s="5">
        <f t="shared" si="30"/>
        <v>0</v>
      </c>
      <c r="G72" s="5"/>
      <c r="H72" s="5"/>
      <c r="I72" s="5">
        <f t="shared" si="32"/>
        <v>0</v>
      </c>
      <c r="J72" s="5"/>
      <c r="K72" s="5"/>
      <c r="L72" s="5">
        <f t="shared" si="28"/>
        <v>0</v>
      </c>
      <c r="M72" s="5">
        <f t="shared" si="31"/>
        <v>0</v>
      </c>
      <c r="N72" s="5"/>
      <c r="O72" s="7"/>
      <c r="P72" s="8"/>
      <c r="Q72" s="5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24">
        <v>46066.0</v>
      </c>
      <c r="B73" s="25" t="s">
        <v>27</v>
      </c>
      <c r="C73" s="25">
        <v>1000.0</v>
      </c>
      <c r="D73" s="26" t="str">
        <f t="shared" si="26"/>
        <v>#DIV/0!</v>
      </c>
      <c r="E73" s="5"/>
      <c r="F73" s="5">
        <f t="shared" si="30"/>
        <v>0</v>
      </c>
      <c r="G73" s="5"/>
      <c r="H73" s="5"/>
      <c r="I73" s="5">
        <f t="shared" si="32"/>
        <v>0</v>
      </c>
      <c r="J73" s="5"/>
      <c r="K73" s="5"/>
      <c r="L73" s="5">
        <f t="shared" si="28"/>
        <v>0</v>
      </c>
      <c r="M73" s="5">
        <f t="shared" si="31"/>
        <v>0</v>
      </c>
      <c r="N73" s="5"/>
      <c r="O73" s="7"/>
      <c r="P73" s="8"/>
      <c r="Q73" s="5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24">
        <v>46067.0</v>
      </c>
      <c r="B74" s="25" t="s">
        <v>28</v>
      </c>
      <c r="C74" s="25">
        <v>1000.0</v>
      </c>
      <c r="D74" s="26" t="str">
        <f t="shared" si="26"/>
        <v>#DIV/0!</v>
      </c>
      <c r="E74" s="5"/>
      <c r="F74" s="5">
        <f t="shared" si="30"/>
        <v>0</v>
      </c>
      <c r="G74" s="5"/>
      <c r="H74" s="5"/>
      <c r="I74" s="5">
        <f t="shared" si="32"/>
        <v>0</v>
      </c>
      <c r="J74" s="5"/>
      <c r="K74" s="5"/>
      <c r="L74" s="5">
        <f t="shared" si="28"/>
        <v>0</v>
      </c>
      <c r="M74" s="5">
        <f t="shared" si="31"/>
        <v>0</v>
      </c>
      <c r="N74" s="5"/>
      <c r="O74" s="7"/>
      <c r="P74" s="8"/>
      <c r="Q74" s="5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24">
        <v>46068.0</v>
      </c>
      <c r="B75" s="25" t="s">
        <v>29</v>
      </c>
      <c r="C75" s="25">
        <v>1000.0</v>
      </c>
      <c r="D75" s="26" t="str">
        <f t="shared" si="26"/>
        <v>#DIV/0!</v>
      </c>
      <c r="E75" s="25">
        <v>0.0</v>
      </c>
      <c r="F75" s="5">
        <f t="shared" si="30"/>
        <v>0</v>
      </c>
      <c r="G75" s="5">
        <v>0.0</v>
      </c>
      <c r="H75" s="5">
        <v>0.0</v>
      </c>
      <c r="I75" s="5">
        <f t="shared" si="32"/>
        <v>0</v>
      </c>
      <c r="J75" s="5">
        <v>0.0</v>
      </c>
      <c r="K75" s="5">
        <v>0.0</v>
      </c>
      <c r="L75" s="5">
        <f t="shared" si="28"/>
        <v>0</v>
      </c>
      <c r="M75" s="5">
        <f t="shared" si="31"/>
        <v>0</v>
      </c>
      <c r="N75" s="5">
        <v>0.0</v>
      </c>
      <c r="O75" s="27">
        <v>0.0</v>
      </c>
      <c r="P75" s="8"/>
      <c r="Q75" s="5">
        <v>0.0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24">
        <v>46069.0</v>
      </c>
      <c r="B76" s="25" t="s">
        <v>30</v>
      </c>
      <c r="C76" s="25">
        <v>1000.0</v>
      </c>
      <c r="D76" s="26" t="str">
        <f t="shared" si="26"/>
        <v>#DIV/0!</v>
      </c>
      <c r="E76" s="5"/>
      <c r="F76" s="5">
        <f t="shared" si="30"/>
        <v>0</v>
      </c>
      <c r="G76" s="5"/>
      <c r="H76" s="5"/>
      <c r="I76" s="5">
        <f t="shared" si="32"/>
        <v>0</v>
      </c>
      <c r="J76" s="5"/>
      <c r="K76" s="5"/>
      <c r="L76" s="5">
        <f t="shared" si="28"/>
        <v>0</v>
      </c>
      <c r="M76" s="5">
        <f t="shared" si="31"/>
        <v>0</v>
      </c>
      <c r="N76" s="5"/>
      <c r="O76" s="7"/>
      <c r="P76" s="8"/>
      <c r="Q76" s="5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24">
        <v>46070.0</v>
      </c>
      <c r="B77" s="25" t="s">
        <v>32</v>
      </c>
      <c r="C77" s="25">
        <v>1000.0</v>
      </c>
      <c r="D77" s="26" t="str">
        <f t="shared" si="26"/>
        <v>#DIV/0!</v>
      </c>
      <c r="E77" s="5"/>
      <c r="F77" s="5">
        <f t="shared" si="30"/>
        <v>0</v>
      </c>
      <c r="G77" s="5"/>
      <c r="H77" s="5"/>
      <c r="I77" s="5">
        <f t="shared" si="32"/>
        <v>0</v>
      </c>
      <c r="J77" s="5"/>
      <c r="K77" s="5"/>
      <c r="L77" s="5">
        <f t="shared" si="28"/>
        <v>0</v>
      </c>
      <c r="M77" s="5">
        <f t="shared" si="31"/>
        <v>0</v>
      </c>
      <c r="N77" s="5"/>
      <c r="O77" s="7"/>
      <c r="P77" s="8"/>
      <c r="Q77" s="5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24">
        <v>46071.0</v>
      </c>
      <c r="B78" s="25" t="s">
        <v>33</v>
      </c>
      <c r="C78" s="25">
        <v>1000.0</v>
      </c>
      <c r="D78" s="26" t="str">
        <f t="shared" si="26"/>
        <v>#DIV/0!</v>
      </c>
      <c r="E78" s="5"/>
      <c r="F78" s="5">
        <f t="shared" si="30"/>
        <v>0</v>
      </c>
      <c r="G78" s="5"/>
      <c r="H78" s="5"/>
      <c r="I78" s="5">
        <f t="shared" si="32"/>
        <v>0</v>
      </c>
      <c r="J78" s="5"/>
      <c r="K78" s="5"/>
      <c r="L78" s="5">
        <f t="shared" si="28"/>
        <v>0</v>
      </c>
      <c r="M78" s="5">
        <f t="shared" si="31"/>
        <v>0</v>
      </c>
      <c r="N78" s="5"/>
      <c r="O78" s="7"/>
      <c r="P78" s="8"/>
      <c r="Q78" s="5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24">
        <v>46072.0</v>
      </c>
      <c r="B79" s="25" t="s">
        <v>25</v>
      </c>
      <c r="C79" s="25">
        <v>1000.0</v>
      </c>
      <c r="D79" s="26" t="str">
        <f t="shared" si="26"/>
        <v>#DIV/0!</v>
      </c>
      <c r="E79" s="5"/>
      <c r="F79" s="5">
        <f t="shared" si="30"/>
        <v>0</v>
      </c>
      <c r="G79" s="5"/>
      <c r="H79" s="5"/>
      <c r="I79" s="5">
        <f t="shared" si="32"/>
        <v>0</v>
      </c>
      <c r="J79" s="5"/>
      <c r="K79" s="5"/>
      <c r="L79" s="5">
        <f t="shared" si="28"/>
        <v>0</v>
      </c>
      <c r="M79" s="5">
        <f t="shared" si="31"/>
        <v>0</v>
      </c>
      <c r="N79" s="5"/>
      <c r="O79" s="7"/>
      <c r="P79" s="8"/>
      <c r="Q79" s="5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24">
        <v>46073.0</v>
      </c>
      <c r="B80" s="25" t="s">
        <v>27</v>
      </c>
      <c r="C80" s="25">
        <v>1000.0</v>
      </c>
      <c r="D80" s="26" t="str">
        <f t="shared" si="26"/>
        <v>#DIV/0!</v>
      </c>
      <c r="E80" s="5"/>
      <c r="F80" s="5">
        <f t="shared" si="30"/>
        <v>0</v>
      </c>
      <c r="G80" s="5"/>
      <c r="H80" s="5"/>
      <c r="I80" s="5">
        <f t="shared" si="32"/>
        <v>0</v>
      </c>
      <c r="J80" s="5"/>
      <c r="K80" s="5"/>
      <c r="L80" s="5">
        <f t="shared" si="28"/>
        <v>0</v>
      </c>
      <c r="M80" s="5">
        <f t="shared" si="31"/>
        <v>0</v>
      </c>
      <c r="N80" s="5"/>
      <c r="O80" s="7"/>
      <c r="P80" s="8"/>
      <c r="Q80" s="5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24">
        <v>46074.0</v>
      </c>
      <c r="B81" s="25" t="s">
        <v>28</v>
      </c>
      <c r="C81" s="25">
        <v>1000.0</v>
      </c>
      <c r="D81" s="26" t="str">
        <f t="shared" si="26"/>
        <v>#DIV/0!</v>
      </c>
      <c r="E81" s="5"/>
      <c r="F81" s="5">
        <f t="shared" si="30"/>
        <v>0</v>
      </c>
      <c r="G81" s="5"/>
      <c r="H81" s="5"/>
      <c r="I81" s="5">
        <f t="shared" si="32"/>
        <v>0</v>
      </c>
      <c r="J81" s="5"/>
      <c r="K81" s="5"/>
      <c r="L81" s="5">
        <f t="shared" si="28"/>
        <v>0</v>
      </c>
      <c r="M81" s="5">
        <f t="shared" si="31"/>
        <v>0</v>
      </c>
      <c r="N81" s="5"/>
      <c r="O81" s="7"/>
      <c r="P81" s="8"/>
      <c r="Q81" s="5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24">
        <v>46075.0</v>
      </c>
      <c r="B82" s="25" t="s">
        <v>29</v>
      </c>
      <c r="C82" s="25">
        <v>1000.0</v>
      </c>
      <c r="D82" s="26" t="str">
        <f t="shared" si="26"/>
        <v>#DIV/0!</v>
      </c>
      <c r="E82" s="25">
        <v>0.0</v>
      </c>
      <c r="F82" s="5">
        <f t="shared" si="30"/>
        <v>0</v>
      </c>
      <c r="G82" s="5">
        <v>0.0</v>
      </c>
      <c r="H82" s="5">
        <v>0.0</v>
      </c>
      <c r="I82" s="5">
        <f t="shared" si="32"/>
        <v>0</v>
      </c>
      <c r="J82" s="5">
        <v>0.0</v>
      </c>
      <c r="K82" s="5">
        <v>0.0</v>
      </c>
      <c r="L82" s="5">
        <f t="shared" si="28"/>
        <v>0</v>
      </c>
      <c r="M82" s="5">
        <f t="shared" si="31"/>
        <v>0</v>
      </c>
      <c r="N82" s="5">
        <v>0.0</v>
      </c>
      <c r="O82" s="7">
        <v>0.0</v>
      </c>
      <c r="P82" s="8"/>
      <c r="Q82" s="5">
        <v>0.0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24">
        <v>46076.0</v>
      </c>
      <c r="B83" s="25" t="s">
        <v>30</v>
      </c>
      <c r="C83" s="25">
        <v>1000.0</v>
      </c>
      <c r="D83" s="26" t="str">
        <f t="shared" si="26"/>
        <v>#DIV/0!</v>
      </c>
      <c r="E83" s="5"/>
      <c r="F83" s="5">
        <f t="shared" si="30"/>
        <v>0</v>
      </c>
      <c r="G83" s="5"/>
      <c r="H83" s="5"/>
      <c r="I83" s="5">
        <f t="shared" si="32"/>
        <v>0</v>
      </c>
      <c r="J83" s="5"/>
      <c r="K83" s="5"/>
      <c r="L83" s="5">
        <f t="shared" si="28"/>
        <v>0</v>
      </c>
      <c r="M83" s="5">
        <f t="shared" si="31"/>
        <v>0</v>
      </c>
      <c r="N83" s="5"/>
      <c r="O83" s="7"/>
      <c r="P83" s="8"/>
      <c r="Q83" s="5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24">
        <v>46077.0</v>
      </c>
      <c r="B84" s="25" t="s">
        <v>32</v>
      </c>
      <c r="C84" s="25">
        <v>1000.0</v>
      </c>
      <c r="D84" s="26" t="str">
        <f t="shared" si="26"/>
        <v>#DIV/0!</v>
      </c>
      <c r="E84" s="5"/>
      <c r="F84" s="5">
        <f t="shared" si="30"/>
        <v>0</v>
      </c>
      <c r="G84" s="5"/>
      <c r="H84" s="5"/>
      <c r="I84" s="5">
        <f t="shared" si="32"/>
        <v>0</v>
      </c>
      <c r="J84" s="5"/>
      <c r="K84" s="5"/>
      <c r="L84" s="5">
        <f t="shared" si="28"/>
        <v>0</v>
      </c>
      <c r="M84" s="5">
        <f t="shared" si="31"/>
        <v>0</v>
      </c>
      <c r="N84" s="5"/>
      <c r="O84" s="7"/>
      <c r="P84" s="8"/>
      <c r="Q84" s="5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24">
        <v>46078.0</v>
      </c>
      <c r="B85" s="25" t="s">
        <v>33</v>
      </c>
      <c r="C85" s="25">
        <v>1000.0</v>
      </c>
      <c r="D85" s="26" t="str">
        <f t="shared" si="26"/>
        <v>#DIV/0!</v>
      </c>
      <c r="E85" s="5"/>
      <c r="F85" s="5">
        <f t="shared" si="30"/>
        <v>0</v>
      </c>
      <c r="G85" s="5"/>
      <c r="H85" s="5"/>
      <c r="I85" s="5">
        <f t="shared" si="32"/>
        <v>0</v>
      </c>
      <c r="J85" s="5"/>
      <c r="K85" s="5"/>
      <c r="L85" s="5">
        <f t="shared" si="28"/>
        <v>0</v>
      </c>
      <c r="M85" s="5">
        <f t="shared" si="31"/>
        <v>0</v>
      </c>
      <c r="N85" s="5"/>
      <c r="O85" s="7"/>
      <c r="P85" s="8"/>
      <c r="Q85" s="5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24">
        <v>46079.0</v>
      </c>
      <c r="B86" s="25" t="s">
        <v>25</v>
      </c>
      <c r="C86" s="25">
        <v>1000.0</v>
      </c>
      <c r="D86" s="26" t="str">
        <f t="shared" si="26"/>
        <v>#DIV/0!</v>
      </c>
      <c r="E86" s="5"/>
      <c r="F86" s="5">
        <f t="shared" si="30"/>
        <v>0</v>
      </c>
      <c r="G86" s="5"/>
      <c r="H86" s="5"/>
      <c r="I86" s="5">
        <f t="shared" si="32"/>
        <v>0</v>
      </c>
      <c r="J86" s="5"/>
      <c r="K86" s="5"/>
      <c r="L86" s="5">
        <f t="shared" si="28"/>
        <v>0</v>
      </c>
      <c r="M86" s="5">
        <f t="shared" si="31"/>
        <v>0</v>
      </c>
      <c r="N86" s="5"/>
      <c r="O86" s="7"/>
      <c r="P86" s="8"/>
      <c r="Q86" s="5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24">
        <v>46080.0</v>
      </c>
      <c r="B87" s="25" t="s">
        <v>27</v>
      </c>
      <c r="C87" s="25">
        <v>1000.0</v>
      </c>
      <c r="D87" s="26" t="str">
        <f t="shared" si="26"/>
        <v>#DIV/0!</v>
      </c>
      <c r="E87" s="5"/>
      <c r="F87" s="5">
        <f t="shared" si="30"/>
        <v>0</v>
      </c>
      <c r="G87" s="5"/>
      <c r="H87" s="5"/>
      <c r="I87" s="5">
        <f t="shared" si="32"/>
        <v>0</v>
      </c>
      <c r="J87" s="5"/>
      <c r="K87" s="5"/>
      <c r="L87" s="5">
        <f t="shared" si="28"/>
        <v>0</v>
      </c>
      <c r="M87" s="5">
        <f t="shared" si="31"/>
        <v>0</v>
      </c>
      <c r="N87" s="5"/>
      <c r="O87" s="7"/>
      <c r="P87" s="8"/>
      <c r="Q87" s="5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24">
        <v>46081.0</v>
      </c>
      <c r="B88" s="25" t="s">
        <v>28</v>
      </c>
      <c r="C88" s="25">
        <v>1000.0</v>
      </c>
      <c r="D88" s="26" t="str">
        <f t="shared" si="26"/>
        <v>#DIV/0!</v>
      </c>
      <c r="E88" s="5"/>
      <c r="F88" s="5">
        <f t="shared" si="30"/>
        <v>0</v>
      </c>
      <c r="G88" s="5"/>
      <c r="H88" s="5"/>
      <c r="I88" s="5">
        <f t="shared" si="32"/>
        <v>0</v>
      </c>
      <c r="J88" s="5"/>
      <c r="K88" s="5"/>
      <c r="L88" s="5">
        <f t="shared" si="28"/>
        <v>0</v>
      </c>
      <c r="M88" s="5">
        <f t="shared" si="31"/>
        <v>0</v>
      </c>
      <c r="N88" s="5"/>
      <c r="O88" s="7"/>
      <c r="P88" s="8"/>
      <c r="Q88" s="5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24">
        <v>46082.0</v>
      </c>
      <c r="B89" s="25" t="s">
        <v>29</v>
      </c>
      <c r="C89" s="25">
        <v>1000.0</v>
      </c>
      <c r="D89" s="26" t="str">
        <f t="shared" si="26"/>
        <v>#DIV/0!</v>
      </c>
      <c r="E89" s="25">
        <v>0.0</v>
      </c>
      <c r="F89" s="5">
        <f t="shared" si="30"/>
        <v>0</v>
      </c>
      <c r="G89" s="5">
        <v>0.0</v>
      </c>
      <c r="H89" s="5">
        <v>0.0</v>
      </c>
      <c r="I89" s="5">
        <f t="shared" si="32"/>
        <v>0</v>
      </c>
      <c r="J89" s="5">
        <v>0.0</v>
      </c>
      <c r="K89" s="5">
        <v>0.0</v>
      </c>
      <c r="L89" s="5">
        <f t="shared" si="28"/>
        <v>0</v>
      </c>
      <c r="M89" s="5">
        <f t="shared" si="31"/>
        <v>0</v>
      </c>
      <c r="N89" s="5">
        <v>0.0</v>
      </c>
      <c r="O89" s="7">
        <v>0.0</v>
      </c>
      <c r="P89" s="8"/>
      <c r="Q89" s="5">
        <v>0.0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24">
        <v>46083.0</v>
      </c>
      <c r="B90" s="25" t="s">
        <v>30</v>
      </c>
      <c r="C90" s="25">
        <v>1000.0</v>
      </c>
      <c r="D90" s="26" t="str">
        <f t="shared" si="26"/>
        <v>#DIV/0!</v>
      </c>
      <c r="E90" s="5"/>
      <c r="F90" s="5">
        <f t="shared" si="30"/>
        <v>0</v>
      </c>
      <c r="G90" s="5"/>
      <c r="H90" s="5"/>
      <c r="I90" s="5">
        <f t="shared" si="32"/>
        <v>0</v>
      </c>
      <c r="J90" s="5"/>
      <c r="K90" s="5"/>
      <c r="L90" s="5">
        <f t="shared" si="28"/>
        <v>0</v>
      </c>
      <c r="M90" s="5">
        <f t="shared" si="31"/>
        <v>0</v>
      </c>
      <c r="N90" s="5"/>
      <c r="O90" s="7"/>
      <c r="P90" s="8"/>
      <c r="Q90" s="5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24">
        <v>46084.0</v>
      </c>
      <c r="B91" s="25" t="s">
        <v>32</v>
      </c>
      <c r="C91" s="25">
        <v>1000.0</v>
      </c>
      <c r="D91" s="26" t="str">
        <f t="shared" si="26"/>
        <v>#DIV/0!</v>
      </c>
      <c r="E91" s="5"/>
      <c r="F91" s="5">
        <f t="shared" si="30"/>
        <v>0</v>
      </c>
      <c r="G91" s="5"/>
      <c r="H91" s="5"/>
      <c r="I91" s="5">
        <f t="shared" si="32"/>
        <v>0</v>
      </c>
      <c r="J91" s="5"/>
      <c r="K91" s="5"/>
      <c r="L91" s="5">
        <f t="shared" si="28"/>
        <v>0</v>
      </c>
      <c r="M91" s="5">
        <f t="shared" si="31"/>
        <v>0</v>
      </c>
      <c r="N91" s="5"/>
      <c r="O91" s="7"/>
      <c r="P91" s="8"/>
      <c r="Q91" s="5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24">
        <v>46085.0</v>
      </c>
      <c r="B92" s="25" t="s">
        <v>33</v>
      </c>
      <c r="C92" s="25">
        <v>1000.0</v>
      </c>
      <c r="D92" s="26" t="str">
        <f t="shared" si="26"/>
        <v>#DIV/0!</v>
      </c>
      <c r="E92" s="5"/>
      <c r="F92" s="5">
        <f t="shared" si="30"/>
        <v>0</v>
      </c>
      <c r="G92" s="5"/>
      <c r="H92" s="5"/>
      <c r="I92" s="5">
        <f t="shared" si="32"/>
        <v>0</v>
      </c>
      <c r="J92" s="5"/>
      <c r="K92" s="5"/>
      <c r="L92" s="5">
        <f t="shared" si="28"/>
        <v>0</v>
      </c>
      <c r="M92" s="5">
        <f t="shared" si="31"/>
        <v>0</v>
      </c>
      <c r="N92" s="5"/>
      <c r="O92" s="7"/>
      <c r="P92" s="8"/>
      <c r="Q92" s="5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24">
        <v>46086.0</v>
      </c>
      <c r="B93" s="25" t="s">
        <v>25</v>
      </c>
      <c r="C93" s="25">
        <v>1000.0</v>
      </c>
      <c r="D93" s="26" t="str">
        <f t="shared" si="26"/>
        <v>#DIV/0!</v>
      </c>
      <c r="E93" s="5"/>
      <c r="F93" s="5">
        <f t="shared" si="30"/>
        <v>0</v>
      </c>
      <c r="G93" s="5"/>
      <c r="H93" s="5"/>
      <c r="I93" s="5">
        <f t="shared" si="32"/>
        <v>0</v>
      </c>
      <c r="J93" s="5"/>
      <c r="K93" s="5"/>
      <c r="L93" s="5">
        <f t="shared" si="28"/>
        <v>0</v>
      </c>
      <c r="M93" s="5">
        <f t="shared" si="31"/>
        <v>0</v>
      </c>
      <c r="N93" s="5"/>
      <c r="O93" s="7"/>
      <c r="P93" s="8"/>
      <c r="Q93" s="5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24">
        <v>46087.0</v>
      </c>
      <c r="B94" s="25" t="s">
        <v>27</v>
      </c>
      <c r="C94" s="25">
        <v>1000.0</v>
      </c>
      <c r="D94" s="26" t="str">
        <f t="shared" si="26"/>
        <v>#DIV/0!</v>
      </c>
      <c r="E94" s="5"/>
      <c r="F94" s="5">
        <f t="shared" si="30"/>
        <v>0</v>
      </c>
      <c r="G94" s="5"/>
      <c r="H94" s="5"/>
      <c r="I94" s="5">
        <f t="shared" si="32"/>
        <v>0</v>
      </c>
      <c r="J94" s="5"/>
      <c r="K94" s="5"/>
      <c r="L94" s="5">
        <f t="shared" si="28"/>
        <v>0</v>
      </c>
      <c r="M94" s="5">
        <f t="shared" si="31"/>
        <v>0</v>
      </c>
      <c r="N94" s="5"/>
      <c r="O94" s="7"/>
      <c r="P94" s="8"/>
      <c r="Q94" s="5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24">
        <v>46088.0</v>
      </c>
      <c r="B95" s="25" t="s">
        <v>28</v>
      </c>
      <c r="C95" s="25">
        <v>1000.0</v>
      </c>
      <c r="D95" s="26" t="str">
        <f t="shared" si="26"/>
        <v>#DIV/0!</v>
      </c>
      <c r="E95" s="5"/>
      <c r="F95" s="5">
        <f t="shared" si="30"/>
        <v>0</v>
      </c>
      <c r="G95" s="5"/>
      <c r="H95" s="5"/>
      <c r="I95" s="5">
        <f t="shared" si="32"/>
        <v>0</v>
      </c>
      <c r="J95" s="5"/>
      <c r="K95" s="5"/>
      <c r="L95" s="5">
        <f t="shared" si="28"/>
        <v>0</v>
      </c>
      <c r="M95" s="5">
        <f t="shared" si="31"/>
        <v>0</v>
      </c>
      <c r="N95" s="5"/>
      <c r="O95" s="7"/>
      <c r="P95" s="8"/>
      <c r="Q95" s="5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24">
        <v>46089.0</v>
      </c>
      <c r="B96" s="25" t="s">
        <v>29</v>
      </c>
      <c r="C96" s="25">
        <v>1000.0</v>
      </c>
      <c r="D96" s="26" t="str">
        <f t="shared" si="26"/>
        <v>#DIV/0!</v>
      </c>
      <c r="E96" s="25">
        <v>0.0</v>
      </c>
      <c r="F96" s="5">
        <f t="shared" si="30"/>
        <v>0</v>
      </c>
      <c r="G96" s="5">
        <v>0.0</v>
      </c>
      <c r="H96" s="5">
        <v>0.0</v>
      </c>
      <c r="I96" s="5">
        <f t="shared" si="32"/>
        <v>0</v>
      </c>
      <c r="J96" s="5">
        <v>0.0</v>
      </c>
      <c r="K96" s="5">
        <v>0.0</v>
      </c>
      <c r="L96" s="5">
        <f t="shared" si="28"/>
        <v>0</v>
      </c>
      <c r="M96" s="5">
        <f t="shared" si="31"/>
        <v>0</v>
      </c>
      <c r="N96" s="5">
        <v>0.0</v>
      </c>
      <c r="O96" s="7">
        <v>0.0</v>
      </c>
      <c r="P96" s="8"/>
      <c r="Q96" s="5">
        <v>0.0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24">
        <v>46090.0</v>
      </c>
      <c r="B97" s="25" t="s">
        <v>30</v>
      </c>
      <c r="C97" s="25">
        <v>1000.0</v>
      </c>
      <c r="D97" s="26" t="str">
        <f t="shared" si="26"/>
        <v>#DIV/0!</v>
      </c>
      <c r="E97" s="5"/>
      <c r="F97" s="5">
        <f t="shared" si="30"/>
        <v>0</v>
      </c>
      <c r="G97" s="5"/>
      <c r="H97" s="5"/>
      <c r="I97" s="5">
        <f t="shared" si="32"/>
        <v>0</v>
      </c>
      <c r="J97" s="5"/>
      <c r="K97" s="5"/>
      <c r="L97" s="5">
        <f t="shared" si="28"/>
        <v>0</v>
      </c>
      <c r="M97" s="5">
        <f t="shared" si="31"/>
        <v>0</v>
      </c>
      <c r="N97" s="5"/>
      <c r="O97" s="7"/>
      <c r="P97" s="8"/>
      <c r="Q97" s="5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24">
        <v>46091.0</v>
      </c>
      <c r="B98" s="25" t="s">
        <v>32</v>
      </c>
      <c r="C98" s="25">
        <v>1000.0</v>
      </c>
      <c r="D98" s="26" t="str">
        <f t="shared" si="26"/>
        <v>#DIV/0!</v>
      </c>
      <c r="E98" s="5"/>
      <c r="F98" s="5">
        <f t="shared" si="30"/>
        <v>0</v>
      </c>
      <c r="G98" s="5"/>
      <c r="H98" s="5"/>
      <c r="I98" s="5">
        <f t="shared" si="32"/>
        <v>0</v>
      </c>
      <c r="J98" s="5"/>
      <c r="K98" s="5"/>
      <c r="L98" s="5">
        <f t="shared" si="28"/>
        <v>0</v>
      </c>
      <c r="M98" s="5">
        <f t="shared" si="31"/>
        <v>0</v>
      </c>
      <c r="N98" s="5"/>
      <c r="O98" s="7"/>
      <c r="P98" s="8"/>
      <c r="Q98" s="5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24">
        <v>46092.0</v>
      </c>
      <c r="B99" s="25" t="s">
        <v>33</v>
      </c>
      <c r="C99" s="25">
        <v>1000.0</v>
      </c>
      <c r="D99" s="26" t="str">
        <f t="shared" si="26"/>
        <v>#DIV/0!</v>
      </c>
      <c r="E99" s="5"/>
      <c r="F99" s="5">
        <f t="shared" si="30"/>
        <v>0</v>
      </c>
      <c r="G99" s="5"/>
      <c r="H99" s="5"/>
      <c r="I99" s="5">
        <f t="shared" si="32"/>
        <v>0</v>
      </c>
      <c r="J99" s="5"/>
      <c r="K99" s="5"/>
      <c r="L99" s="5">
        <f t="shared" si="28"/>
        <v>0</v>
      </c>
      <c r="M99" s="5">
        <f t="shared" si="31"/>
        <v>0</v>
      </c>
      <c r="N99" s="5"/>
      <c r="O99" s="7"/>
      <c r="P99" s="8"/>
      <c r="Q99" s="5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24">
        <v>46093.0</v>
      </c>
      <c r="B100" s="25" t="s">
        <v>25</v>
      </c>
      <c r="C100" s="25">
        <v>1000.0</v>
      </c>
      <c r="D100" s="26" t="str">
        <f t="shared" si="26"/>
        <v>#DIV/0!</v>
      </c>
      <c r="E100" s="5"/>
      <c r="F100" s="5">
        <f t="shared" si="30"/>
        <v>0</v>
      </c>
      <c r="G100" s="5"/>
      <c r="H100" s="5"/>
      <c r="I100" s="5">
        <f t="shared" si="32"/>
        <v>0</v>
      </c>
      <c r="J100" s="5"/>
      <c r="K100" s="5"/>
      <c r="L100" s="5">
        <f t="shared" si="28"/>
        <v>0</v>
      </c>
      <c r="M100" s="5">
        <f t="shared" si="31"/>
        <v>0</v>
      </c>
      <c r="N100" s="5"/>
      <c r="O100" s="7"/>
      <c r="P100" s="8"/>
      <c r="Q100" s="5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24">
        <v>46094.0</v>
      </c>
      <c r="B101" s="25" t="s">
        <v>27</v>
      </c>
      <c r="C101" s="25">
        <v>1000.0</v>
      </c>
      <c r="D101" s="26" t="str">
        <f t="shared" si="26"/>
        <v>#DIV/0!</v>
      </c>
      <c r="E101" s="5"/>
      <c r="F101" s="5">
        <f t="shared" si="30"/>
        <v>0</v>
      </c>
      <c r="G101" s="5"/>
      <c r="H101" s="5"/>
      <c r="I101" s="5">
        <f t="shared" si="32"/>
        <v>0</v>
      </c>
      <c r="J101" s="5"/>
      <c r="K101" s="5"/>
      <c r="L101" s="5">
        <f t="shared" si="28"/>
        <v>0</v>
      </c>
      <c r="M101" s="5">
        <f t="shared" si="31"/>
        <v>0</v>
      </c>
      <c r="N101" s="5"/>
      <c r="O101" s="7"/>
      <c r="P101" s="8"/>
      <c r="Q101" s="5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24">
        <v>46095.0</v>
      </c>
      <c r="B102" s="25" t="s">
        <v>28</v>
      </c>
      <c r="C102" s="25">
        <v>1000.0</v>
      </c>
      <c r="D102" s="26" t="str">
        <f t="shared" si="26"/>
        <v>#DIV/0!</v>
      </c>
      <c r="E102" s="5"/>
      <c r="F102" s="5">
        <f t="shared" si="30"/>
        <v>0</v>
      </c>
      <c r="G102" s="5"/>
      <c r="H102" s="5"/>
      <c r="I102" s="5">
        <f t="shared" si="32"/>
        <v>0</v>
      </c>
      <c r="J102" s="5"/>
      <c r="K102" s="5"/>
      <c r="L102" s="5">
        <f t="shared" si="28"/>
        <v>0</v>
      </c>
      <c r="M102" s="5">
        <f t="shared" si="31"/>
        <v>0</v>
      </c>
      <c r="N102" s="5"/>
      <c r="O102" s="7"/>
      <c r="P102" s="8"/>
      <c r="Q102" s="5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24">
        <v>46096.0</v>
      </c>
      <c r="B103" s="25" t="s">
        <v>29</v>
      </c>
      <c r="C103" s="25">
        <v>1000.0</v>
      </c>
      <c r="D103" s="26" t="str">
        <f t="shared" si="26"/>
        <v>#DIV/0!</v>
      </c>
      <c r="E103" s="25">
        <v>0.0</v>
      </c>
      <c r="F103" s="5">
        <f t="shared" si="30"/>
        <v>0</v>
      </c>
      <c r="G103" s="5">
        <v>0.0</v>
      </c>
      <c r="H103" s="5">
        <v>0.0</v>
      </c>
      <c r="I103" s="5">
        <f t="shared" si="32"/>
        <v>0</v>
      </c>
      <c r="J103" s="5">
        <v>0.0</v>
      </c>
      <c r="K103" s="5">
        <v>0.0</v>
      </c>
      <c r="L103" s="5">
        <f t="shared" si="28"/>
        <v>0</v>
      </c>
      <c r="M103" s="5">
        <f t="shared" si="31"/>
        <v>0</v>
      </c>
      <c r="N103" s="5">
        <v>0.0</v>
      </c>
      <c r="O103" s="27">
        <v>0.0</v>
      </c>
      <c r="P103" s="8"/>
      <c r="Q103" s="5">
        <v>0.0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24">
        <v>46097.0</v>
      </c>
      <c r="B104" s="25" t="s">
        <v>30</v>
      </c>
      <c r="C104" s="25">
        <v>1000.0</v>
      </c>
      <c r="D104" s="26" t="str">
        <f t="shared" si="26"/>
        <v>#DIV/0!</v>
      </c>
      <c r="E104" s="5"/>
      <c r="F104" s="5">
        <f t="shared" si="30"/>
        <v>0</v>
      </c>
      <c r="G104" s="5"/>
      <c r="H104" s="5"/>
      <c r="I104" s="5">
        <f t="shared" si="32"/>
        <v>0</v>
      </c>
      <c r="J104" s="5"/>
      <c r="K104" s="5"/>
      <c r="L104" s="5">
        <f t="shared" si="28"/>
        <v>0</v>
      </c>
      <c r="M104" s="5">
        <f t="shared" si="31"/>
        <v>0</v>
      </c>
      <c r="N104" s="5"/>
      <c r="O104" s="7"/>
      <c r="P104" s="8"/>
      <c r="Q104" s="5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24">
        <v>46098.0</v>
      </c>
      <c r="B105" s="25" t="s">
        <v>32</v>
      </c>
      <c r="C105" s="25">
        <v>1000.0</v>
      </c>
      <c r="D105" s="26" t="str">
        <f t="shared" si="26"/>
        <v>#DIV/0!</v>
      </c>
      <c r="E105" s="5"/>
      <c r="F105" s="5">
        <f t="shared" si="30"/>
        <v>0</v>
      </c>
      <c r="G105" s="5"/>
      <c r="H105" s="5"/>
      <c r="I105" s="5">
        <f t="shared" si="32"/>
        <v>0</v>
      </c>
      <c r="J105" s="5"/>
      <c r="K105" s="5"/>
      <c r="L105" s="5">
        <f t="shared" si="28"/>
        <v>0</v>
      </c>
      <c r="M105" s="5">
        <f t="shared" si="31"/>
        <v>0</v>
      </c>
      <c r="N105" s="5"/>
      <c r="O105" s="7"/>
      <c r="P105" s="8"/>
      <c r="Q105" s="5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24">
        <v>46099.0</v>
      </c>
      <c r="B106" s="25" t="s">
        <v>33</v>
      </c>
      <c r="C106" s="25">
        <v>1000.0</v>
      </c>
      <c r="D106" s="26" t="str">
        <f t="shared" si="26"/>
        <v>#DIV/0!</v>
      </c>
      <c r="E106" s="5"/>
      <c r="F106" s="5">
        <f t="shared" si="30"/>
        <v>0</v>
      </c>
      <c r="G106" s="5"/>
      <c r="H106" s="5"/>
      <c r="I106" s="5">
        <f t="shared" si="32"/>
        <v>0</v>
      </c>
      <c r="J106" s="5"/>
      <c r="K106" s="5"/>
      <c r="L106" s="5">
        <f t="shared" si="28"/>
        <v>0</v>
      </c>
      <c r="M106" s="5">
        <f t="shared" si="31"/>
        <v>0</v>
      </c>
      <c r="N106" s="5"/>
      <c r="O106" s="7"/>
      <c r="P106" s="8"/>
      <c r="Q106" s="5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24">
        <v>46100.0</v>
      </c>
      <c r="B107" s="25" t="s">
        <v>25</v>
      </c>
      <c r="C107" s="25">
        <v>1000.0</v>
      </c>
      <c r="D107" s="26" t="str">
        <f t="shared" si="26"/>
        <v>#DIV/0!</v>
      </c>
      <c r="E107" s="5"/>
      <c r="F107" s="5">
        <f t="shared" si="30"/>
        <v>0</v>
      </c>
      <c r="G107" s="5"/>
      <c r="H107" s="5"/>
      <c r="I107" s="5">
        <f t="shared" si="32"/>
        <v>0</v>
      </c>
      <c r="J107" s="5"/>
      <c r="K107" s="5"/>
      <c r="L107" s="5">
        <f t="shared" si="28"/>
        <v>0</v>
      </c>
      <c r="M107" s="5">
        <f t="shared" si="31"/>
        <v>0</v>
      </c>
      <c r="N107" s="5"/>
      <c r="O107" s="7"/>
      <c r="P107" s="8"/>
      <c r="Q107" s="5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24">
        <v>46101.0</v>
      </c>
      <c r="B108" s="25" t="s">
        <v>27</v>
      </c>
      <c r="C108" s="25">
        <v>1000.0</v>
      </c>
      <c r="D108" s="26" t="str">
        <f t="shared" si="26"/>
        <v>#DIV/0!</v>
      </c>
      <c r="E108" s="5"/>
      <c r="F108" s="5">
        <f t="shared" si="30"/>
        <v>0</v>
      </c>
      <c r="G108" s="5"/>
      <c r="H108" s="5"/>
      <c r="I108" s="5">
        <f t="shared" si="32"/>
        <v>0</v>
      </c>
      <c r="J108" s="5"/>
      <c r="K108" s="5"/>
      <c r="L108" s="5">
        <f t="shared" si="28"/>
        <v>0</v>
      </c>
      <c r="M108" s="5">
        <f t="shared" si="31"/>
        <v>0</v>
      </c>
      <c r="N108" s="5"/>
      <c r="O108" s="7"/>
      <c r="P108" s="8"/>
      <c r="Q108" s="5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24">
        <v>46102.0</v>
      </c>
      <c r="B109" s="25" t="s">
        <v>28</v>
      </c>
      <c r="C109" s="25">
        <v>1000.0</v>
      </c>
      <c r="D109" s="26" t="str">
        <f t="shared" si="26"/>
        <v>#DIV/0!</v>
      </c>
      <c r="E109" s="5"/>
      <c r="F109" s="5">
        <f t="shared" si="30"/>
        <v>0</v>
      </c>
      <c r="G109" s="5"/>
      <c r="H109" s="5"/>
      <c r="I109" s="5">
        <f t="shared" si="32"/>
        <v>0</v>
      </c>
      <c r="J109" s="5"/>
      <c r="K109" s="5"/>
      <c r="L109" s="5">
        <f t="shared" si="28"/>
        <v>0</v>
      </c>
      <c r="M109" s="5">
        <f t="shared" si="31"/>
        <v>0</v>
      </c>
      <c r="N109" s="5"/>
      <c r="O109" s="7"/>
      <c r="P109" s="8"/>
      <c r="Q109" s="5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24">
        <v>46103.0</v>
      </c>
      <c r="B110" s="25" t="s">
        <v>29</v>
      </c>
      <c r="C110" s="25">
        <v>1000.0</v>
      </c>
      <c r="D110" s="26" t="str">
        <f t="shared" si="26"/>
        <v>#DIV/0!</v>
      </c>
      <c r="E110" s="25">
        <v>0.0</v>
      </c>
      <c r="F110" s="5">
        <f t="shared" si="30"/>
        <v>0</v>
      </c>
      <c r="G110" s="5">
        <v>0.0</v>
      </c>
      <c r="H110" s="5">
        <v>0.0</v>
      </c>
      <c r="I110" s="5">
        <f t="shared" si="32"/>
        <v>0</v>
      </c>
      <c r="J110" s="5">
        <v>0.0</v>
      </c>
      <c r="K110" s="5">
        <v>0.0</v>
      </c>
      <c r="L110" s="5">
        <f t="shared" si="28"/>
        <v>0</v>
      </c>
      <c r="M110" s="5">
        <f t="shared" si="31"/>
        <v>0</v>
      </c>
      <c r="N110" s="5">
        <v>0.0</v>
      </c>
      <c r="O110" s="27">
        <v>0.0</v>
      </c>
      <c r="P110" s="8"/>
      <c r="Q110" s="5">
        <v>0.0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24">
        <v>46104.0</v>
      </c>
      <c r="B111" s="25" t="s">
        <v>30</v>
      </c>
      <c r="C111" s="25">
        <v>1000.0</v>
      </c>
      <c r="D111" s="26" t="str">
        <f t="shared" si="26"/>
        <v>#DIV/0!</v>
      </c>
      <c r="E111" s="5"/>
      <c r="F111" s="5">
        <f t="shared" si="30"/>
        <v>0</v>
      </c>
      <c r="G111" s="5"/>
      <c r="H111" s="5"/>
      <c r="I111" s="5">
        <f t="shared" si="32"/>
        <v>0</v>
      </c>
      <c r="J111" s="5"/>
      <c r="K111" s="5"/>
      <c r="L111" s="5">
        <f t="shared" si="28"/>
        <v>0</v>
      </c>
      <c r="M111" s="5">
        <f t="shared" si="31"/>
        <v>0</v>
      </c>
      <c r="N111" s="5"/>
      <c r="O111" s="7"/>
      <c r="P111" s="8"/>
      <c r="Q111" s="5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24">
        <v>46105.0</v>
      </c>
      <c r="B112" s="25" t="s">
        <v>32</v>
      </c>
      <c r="C112" s="25">
        <v>1000.0</v>
      </c>
      <c r="D112" s="26" t="str">
        <f t="shared" si="26"/>
        <v>#DIV/0!</v>
      </c>
      <c r="E112" s="5"/>
      <c r="F112" s="5">
        <f t="shared" si="30"/>
        <v>0</v>
      </c>
      <c r="G112" s="5"/>
      <c r="H112" s="5"/>
      <c r="I112" s="5">
        <f t="shared" si="32"/>
        <v>0</v>
      </c>
      <c r="J112" s="5"/>
      <c r="K112" s="5"/>
      <c r="L112" s="5">
        <f t="shared" si="28"/>
        <v>0</v>
      </c>
      <c r="M112" s="5">
        <f t="shared" si="31"/>
        <v>0</v>
      </c>
      <c r="N112" s="5"/>
      <c r="O112" s="7"/>
      <c r="P112" s="8"/>
      <c r="Q112" s="5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24">
        <v>46106.0</v>
      </c>
      <c r="B113" s="25" t="s">
        <v>33</v>
      </c>
      <c r="C113" s="25">
        <v>1000.0</v>
      </c>
      <c r="D113" s="26" t="str">
        <f t="shared" si="26"/>
        <v>#DIV/0!</v>
      </c>
      <c r="E113" s="5"/>
      <c r="F113" s="5">
        <f t="shared" si="30"/>
        <v>0</v>
      </c>
      <c r="G113" s="5"/>
      <c r="H113" s="5"/>
      <c r="I113" s="5">
        <f t="shared" si="32"/>
        <v>0</v>
      </c>
      <c r="J113" s="5"/>
      <c r="K113" s="5"/>
      <c r="L113" s="5">
        <f t="shared" si="28"/>
        <v>0</v>
      </c>
      <c r="M113" s="5">
        <f t="shared" si="31"/>
        <v>0</v>
      </c>
      <c r="N113" s="5"/>
      <c r="O113" s="7"/>
      <c r="P113" s="8"/>
      <c r="Q113" s="5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24">
        <v>46107.0</v>
      </c>
      <c r="B114" s="25" t="s">
        <v>25</v>
      </c>
      <c r="C114" s="25">
        <v>1000.0</v>
      </c>
      <c r="D114" s="26" t="str">
        <f t="shared" si="26"/>
        <v>#DIV/0!</v>
      </c>
      <c r="E114" s="5"/>
      <c r="F114" s="5">
        <f t="shared" si="30"/>
        <v>0</v>
      </c>
      <c r="G114" s="5"/>
      <c r="H114" s="5"/>
      <c r="I114" s="5">
        <f t="shared" si="32"/>
        <v>0</v>
      </c>
      <c r="J114" s="5"/>
      <c r="K114" s="5"/>
      <c r="L114" s="5">
        <f t="shared" si="28"/>
        <v>0</v>
      </c>
      <c r="M114" s="5">
        <f t="shared" si="31"/>
        <v>0</v>
      </c>
      <c r="N114" s="5"/>
      <c r="O114" s="7"/>
      <c r="P114" s="8"/>
      <c r="Q114" s="5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24">
        <v>46108.0</v>
      </c>
      <c r="B115" s="25" t="s">
        <v>27</v>
      </c>
      <c r="C115" s="25">
        <v>1000.0</v>
      </c>
      <c r="D115" s="26" t="str">
        <f t="shared" si="26"/>
        <v>#DIV/0!</v>
      </c>
      <c r="E115" s="5"/>
      <c r="F115" s="5">
        <f t="shared" si="30"/>
        <v>0</v>
      </c>
      <c r="G115" s="5"/>
      <c r="H115" s="5"/>
      <c r="I115" s="5">
        <f t="shared" si="32"/>
        <v>0</v>
      </c>
      <c r="J115" s="5"/>
      <c r="K115" s="5"/>
      <c r="L115" s="5">
        <f t="shared" si="28"/>
        <v>0</v>
      </c>
      <c r="M115" s="5">
        <f t="shared" si="31"/>
        <v>0</v>
      </c>
      <c r="N115" s="5"/>
      <c r="O115" s="7"/>
      <c r="P115" s="8"/>
      <c r="Q115" s="5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24">
        <v>46109.0</v>
      </c>
      <c r="B116" s="25" t="s">
        <v>28</v>
      </c>
      <c r="C116" s="25">
        <v>1000.0</v>
      </c>
      <c r="D116" s="26" t="str">
        <f t="shared" si="26"/>
        <v>#DIV/0!</v>
      </c>
      <c r="E116" s="5"/>
      <c r="F116" s="5">
        <f t="shared" si="30"/>
        <v>0</v>
      </c>
      <c r="G116" s="5"/>
      <c r="H116" s="5"/>
      <c r="I116" s="5">
        <f t="shared" si="32"/>
        <v>0</v>
      </c>
      <c r="J116" s="5"/>
      <c r="K116" s="5"/>
      <c r="L116" s="5">
        <f t="shared" si="28"/>
        <v>0</v>
      </c>
      <c r="M116" s="5">
        <f t="shared" si="31"/>
        <v>0</v>
      </c>
      <c r="N116" s="5"/>
      <c r="O116" s="7"/>
      <c r="P116" s="8"/>
      <c r="Q116" s="5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24">
        <v>46110.0</v>
      </c>
      <c r="B117" s="25" t="s">
        <v>29</v>
      </c>
      <c r="C117" s="25">
        <v>1000.0</v>
      </c>
      <c r="D117" s="26" t="str">
        <f t="shared" si="26"/>
        <v>#DIV/0!</v>
      </c>
      <c r="E117" s="25">
        <v>0.0</v>
      </c>
      <c r="F117" s="5">
        <f t="shared" si="30"/>
        <v>0</v>
      </c>
      <c r="G117" s="5">
        <v>0.0</v>
      </c>
      <c r="H117" s="5">
        <v>0.0</v>
      </c>
      <c r="I117" s="5">
        <f t="shared" si="32"/>
        <v>0</v>
      </c>
      <c r="J117" s="5">
        <v>0.0</v>
      </c>
      <c r="K117" s="5">
        <v>0.0</v>
      </c>
      <c r="L117" s="5">
        <f t="shared" si="28"/>
        <v>0</v>
      </c>
      <c r="M117" s="5">
        <f t="shared" si="31"/>
        <v>0</v>
      </c>
      <c r="N117" s="5">
        <v>0.0</v>
      </c>
      <c r="O117" s="27">
        <v>0.0</v>
      </c>
      <c r="P117" s="8"/>
      <c r="Q117" s="5">
        <v>0.0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24">
        <v>46111.0</v>
      </c>
      <c r="B118" s="25" t="s">
        <v>30</v>
      </c>
      <c r="C118" s="25">
        <v>1000.0</v>
      </c>
      <c r="D118" s="26" t="str">
        <f t="shared" si="26"/>
        <v>#DIV/0!</v>
      </c>
      <c r="E118" s="5"/>
      <c r="F118" s="5">
        <f t="shared" si="30"/>
        <v>0</v>
      </c>
      <c r="G118" s="5"/>
      <c r="H118" s="5"/>
      <c r="I118" s="5">
        <f t="shared" si="32"/>
        <v>0</v>
      </c>
      <c r="J118" s="5"/>
      <c r="K118" s="5"/>
      <c r="L118" s="5">
        <f t="shared" si="28"/>
        <v>0</v>
      </c>
      <c r="M118" s="5">
        <f t="shared" si="31"/>
        <v>0</v>
      </c>
      <c r="N118" s="5"/>
      <c r="O118" s="7"/>
      <c r="P118" s="8"/>
      <c r="Q118" s="5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24">
        <v>46112.0</v>
      </c>
      <c r="B119" s="25" t="s">
        <v>32</v>
      </c>
      <c r="C119" s="25">
        <v>1000.0</v>
      </c>
      <c r="D119" s="26" t="str">
        <f t="shared" si="26"/>
        <v>#DIV/0!</v>
      </c>
      <c r="E119" s="5"/>
      <c r="F119" s="5">
        <f t="shared" si="30"/>
        <v>0</v>
      </c>
      <c r="G119" s="5"/>
      <c r="H119" s="5"/>
      <c r="I119" s="5">
        <f t="shared" si="32"/>
        <v>0</v>
      </c>
      <c r="J119" s="5"/>
      <c r="K119" s="5"/>
      <c r="L119" s="5">
        <f t="shared" si="28"/>
        <v>0</v>
      </c>
      <c r="M119" s="5">
        <f t="shared" si="31"/>
        <v>0</v>
      </c>
      <c r="N119" s="5"/>
      <c r="O119" s="7"/>
      <c r="P119" s="8"/>
      <c r="Q119" s="5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24">
        <v>46113.0</v>
      </c>
      <c r="B120" s="25" t="s">
        <v>33</v>
      </c>
      <c r="C120" s="25">
        <v>1000.0</v>
      </c>
      <c r="D120" s="26" t="str">
        <f t="shared" si="26"/>
        <v>#DIV/0!</v>
      </c>
      <c r="E120" s="5"/>
      <c r="F120" s="5">
        <f t="shared" si="30"/>
        <v>0</v>
      </c>
      <c r="G120" s="5"/>
      <c r="H120" s="5"/>
      <c r="I120" s="5">
        <f t="shared" si="32"/>
        <v>0</v>
      </c>
      <c r="J120" s="5"/>
      <c r="K120" s="5"/>
      <c r="L120" s="5">
        <f t="shared" si="28"/>
        <v>0</v>
      </c>
      <c r="M120" s="5">
        <f t="shared" si="31"/>
        <v>0</v>
      </c>
      <c r="N120" s="5"/>
      <c r="O120" s="7"/>
      <c r="P120" s="8"/>
      <c r="Q120" s="5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24">
        <v>46114.0</v>
      </c>
      <c r="B121" s="25" t="s">
        <v>25</v>
      </c>
      <c r="C121" s="25">
        <v>1000.0</v>
      </c>
      <c r="D121" s="26" t="str">
        <f t="shared" si="26"/>
        <v>#DIV/0!</v>
      </c>
      <c r="E121" s="5"/>
      <c r="F121" s="5">
        <f t="shared" si="30"/>
        <v>0</v>
      </c>
      <c r="G121" s="5"/>
      <c r="H121" s="5"/>
      <c r="I121" s="5">
        <f t="shared" si="32"/>
        <v>0</v>
      </c>
      <c r="J121" s="5"/>
      <c r="K121" s="5"/>
      <c r="L121" s="5">
        <f t="shared" si="28"/>
        <v>0</v>
      </c>
      <c r="M121" s="5">
        <f t="shared" si="31"/>
        <v>0</v>
      </c>
      <c r="N121" s="5"/>
      <c r="O121" s="7"/>
      <c r="P121" s="8"/>
      <c r="Q121" s="5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24">
        <v>46115.0</v>
      </c>
      <c r="B122" s="25" t="s">
        <v>27</v>
      </c>
      <c r="C122" s="25">
        <v>1000.0</v>
      </c>
      <c r="D122" s="26" t="str">
        <f t="shared" si="26"/>
        <v>#DIV/0!</v>
      </c>
      <c r="E122" s="5"/>
      <c r="F122" s="5">
        <f t="shared" si="30"/>
        <v>0</v>
      </c>
      <c r="G122" s="5"/>
      <c r="H122" s="5"/>
      <c r="I122" s="5">
        <f t="shared" si="32"/>
        <v>0</v>
      </c>
      <c r="J122" s="5"/>
      <c r="K122" s="5"/>
      <c r="L122" s="5">
        <f t="shared" si="28"/>
        <v>0</v>
      </c>
      <c r="M122" s="5">
        <f t="shared" si="31"/>
        <v>0</v>
      </c>
      <c r="N122" s="5"/>
      <c r="O122" s="7"/>
      <c r="P122" s="8"/>
      <c r="Q122" s="5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24">
        <v>46116.0</v>
      </c>
      <c r="B123" s="25" t="s">
        <v>28</v>
      </c>
      <c r="C123" s="25">
        <v>1000.0</v>
      </c>
      <c r="D123" s="26" t="str">
        <f t="shared" si="26"/>
        <v>#DIV/0!</v>
      </c>
      <c r="E123" s="5"/>
      <c r="F123" s="5">
        <f t="shared" si="30"/>
        <v>0</v>
      </c>
      <c r="G123" s="5"/>
      <c r="H123" s="5"/>
      <c r="I123" s="5">
        <f t="shared" si="32"/>
        <v>0</v>
      </c>
      <c r="J123" s="5"/>
      <c r="K123" s="5"/>
      <c r="L123" s="5">
        <f t="shared" si="28"/>
        <v>0</v>
      </c>
      <c r="M123" s="5">
        <f t="shared" si="31"/>
        <v>0</v>
      </c>
      <c r="N123" s="5"/>
      <c r="O123" s="7"/>
      <c r="P123" s="8"/>
      <c r="Q123" s="5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24">
        <v>46117.0</v>
      </c>
      <c r="B124" s="25" t="s">
        <v>29</v>
      </c>
      <c r="C124" s="25">
        <v>1000.0</v>
      </c>
      <c r="D124" s="26" t="str">
        <f t="shared" si="26"/>
        <v>#DIV/0!</v>
      </c>
      <c r="E124" s="25">
        <v>0.0</v>
      </c>
      <c r="F124" s="5">
        <f t="shared" si="30"/>
        <v>0</v>
      </c>
      <c r="G124" s="5">
        <v>0.0</v>
      </c>
      <c r="H124" s="5">
        <v>0.0</v>
      </c>
      <c r="I124" s="5">
        <f t="shared" si="32"/>
        <v>0</v>
      </c>
      <c r="J124" s="5">
        <v>0.0</v>
      </c>
      <c r="K124" s="5">
        <v>0.0</v>
      </c>
      <c r="L124" s="5">
        <f t="shared" si="28"/>
        <v>0</v>
      </c>
      <c r="M124" s="5">
        <f t="shared" si="31"/>
        <v>0</v>
      </c>
      <c r="N124" s="5">
        <v>0.0</v>
      </c>
      <c r="O124" s="27">
        <v>0.0</v>
      </c>
      <c r="P124" s="8"/>
      <c r="Q124" s="5">
        <v>0.0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24">
        <v>46118.0</v>
      </c>
      <c r="B125" s="25" t="s">
        <v>30</v>
      </c>
      <c r="C125" s="25">
        <v>1000.0</v>
      </c>
      <c r="D125" s="26" t="str">
        <f t="shared" si="26"/>
        <v>#DIV/0!</v>
      </c>
      <c r="E125" s="5"/>
      <c r="F125" s="5">
        <f t="shared" si="30"/>
        <v>0</v>
      </c>
      <c r="G125" s="5"/>
      <c r="H125" s="5"/>
      <c r="I125" s="5">
        <f t="shared" si="32"/>
        <v>0</v>
      </c>
      <c r="J125" s="5"/>
      <c r="K125" s="5"/>
      <c r="L125" s="5">
        <f t="shared" si="28"/>
        <v>0</v>
      </c>
      <c r="M125" s="5">
        <f t="shared" si="31"/>
        <v>0</v>
      </c>
      <c r="N125" s="5"/>
      <c r="O125" s="7"/>
      <c r="P125" s="8"/>
      <c r="Q125" s="5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24">
        <v>46119.0</v>
      </c>
      <c r="B126" s="25" t="s">
        <v>32</v>
      </c>
      <c r="C126" s="25">
        <v>1000.0</v>
      </c>
      <c r="D126" s="26" t="str">
        <f t="shared" si="26"/>
        <v>#DIV/0!</v>
      </c>
      <c r="E126" s="5"/>
      <c r="F126" s="5">
        <f t="shared" si="30"/>
        <v>0</v>
      </c>
      <c r="G126" s="5"/>
      <c r="H126" s="5"/>
      <c r="I126" s="5">
        <f t="shared" si="32"/>
        <v>0</v>
      </c>
      <c r="J126" s="5"/>
      <c r="K126" s="5"/>
      <c r="L126" s="5">
        <f t="shared" si="28"/>
        <v>0</v>
      </c>
      <c r="M126" s="5">
        <f t="shared" si="31"/>
        <v>0</v>
      </c>
      <c r="N126" s="5"/>
      <c r="O126" s="7"/>
      <c r="P126" s="8"/>
      <c r="Q126" s="5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24">
        <v>46120.0</v>
      </c>
      <c r="B127" s="25" t="s">
        <v>33</v>
      </c>
      <c r="C127" s="25">
        <v>1000.0</v>
      </c>
      <c r="D127" s="26" t="str">
        <f t="shared" si="26"/>
        <v>#DIV/0!</v>
      </c>
      <c r="E127" s="5"/>
      <c r="F127" s="5">
        <f t="shared" si="30"/>
        <v>0</v>
      </c>
      <c r="G127" s="5"/>
      <c r="H127" s="5"/>
      <c r="I127" s="5">
        <f t="shared" si="32"/>
        <v>0</v>
      </c>
      <c r="J127" s="5"/>
      <c r="K127" s="5"/>
      <c r="L127" s="5">
        <f t="shared" si="28"/>
        <v>0</v>
      </c>
      <c r="M127" s="5">
        <f t="shared" si="31"/>
        <v>0</v>
      </c>
      <c r="N127" s="5"/>
      <c r="O127" s="7"/>
      <c r="P127" s="8"/>
      <c r="Q127" s="5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24">
        <v>46121.0</v>
      </c>
      <c r="B128" s="25" t="s">
        <v>25</v>
      </c>
      <c r="C128" s="25">
        <v>1000.0</v>
      </c>
      <c r="D128" s="26" t="str">
        <f t="shared" si="26"/>
        <v>#DIV/0!</v>
      </c>
      <c r="E128" s="5"/>
      <c r="F128" s="5">
        <f t="shared" si="30"/>
        <v>0</v>
      </c>
      <c r="G128" s="5"/>
      <c r="H128" s="5"/>
      <c r="I128" s="5">
        <f t="shared" si="32"/>
        <v>0</v>
      </c>
      <c r="J128" s="5"/>
      <c r="K128" s="5"/>
      <c r="L128" s="5">
        <f t="shared" si="28"/>
        <v>0</v>
      </c>
      <c r="M128" s="5">
        <f t="shared" si="31"/>
        <v>0</v>
      </c>
      <c r="N128" s="5"/>
      <c r="O128" s="7"/>
      <c r="P128" s="8"/>
      <c r="Q128" s="5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24">
        <v>46122.0</v>
      </c>
      <c r="B129" s="25" t="s">
        <v>27</v>
      </c>
      <c r="C129" s="25">
        <v>1000.0</v>
      </c>
      <c r="D129" s="26" t="str">
        <f t="shared" si="26"/>
        <v>#DIV/0!</v>
      </c>
      <c r="E129" s="5"/>
      <c r="F129" s="5">
        <f t="shared" si="30"/>
        <v>0</v>
      </c>
      <c r="G129" s="5"/>
      <c r="H129" s="5"/>
      <c r="I129" s="5">
        <f t="shared" si="32"/>
        <v>0</v>
      </c>
      <c r="J129" s="5"/>
      <c r="K129" s="5"/>
      <c r="L129" s="5">
        <f t="shared" si="28"/>
        <v>0</v>
      </c>
      <c r="M129" s="5">
        <f t="shared" si="31"/>
        <v>0</v>
      </c>
      <c r="N129" s="5"/>
      <c r="O129" s="7"/>
      <c r="P129" s="8"/>
      <c r="Q129" s="5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24">
        <v>46123.0</v>
      </c>
      <c r="B130" s="25" t="s">
        <v>28</v>
      </c>
      <c r="C130" s="25">
        <v>1000.0</v>
      </c>
      <c r="D130" s="26" t="str">
        <f t="shared" si="26"/>
        <v>#DIV/0!</v>
      </c>
      <c r="E130" s="5"/>
      <c r="F130" s="5">
        <f t="shared" si="30"/>
        <v>0</v>
      </c>
      <c r="G130" s="5"/>
      <c r="H130" s="5"/>
      <c r="I130" s="5">
        <f t="shared" si="32"/>
        <v>0</v>
      </c>
      <c r="J130" s="5"/>
      <c r="K130" s="5"/>
      <c r="L130" s="5">
        <f t="shared" si="28"/>
        <v>0</v>
      </c>
      <c r="M130" s="5">
        <f t="shared" si="31"/>
        <v>0</v>
      </c>
      <c r="N130" s="5"/>
      <c r="O130" s="7"/>
      <c r="P130" s="8"/>
      <c r="Q130" s="5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24">
        <v>46124.0</v>
      </c>
      <c r="B131" s="25" t="s">
        <v>29</v>
      </c>
      <c r="C131" s="25">
        <v>1000.0</v>
      </c>
      <c r="D131" s="26" t="str">
        <f t="shared" si="26"/>
        <v>#DIV/0!</v>
      </c>
      <c r="E131" s="25">
        <v>0.0</v>
      </c>
      <c r="F131" s="5">
        <f t="shared" si="30"/>
        <v>0</v>
      </c>
      <c r="G131" s="5">
        <v>0.0</v>
      </c>
      <c r="H131" s="5">
        <v>0.0</v>
      </c>
      <c r="I131" s="5">
        <f t="shared" si="32"/>
        <v>0</v>
      </c>
      <c r="J131" s="5">
        <v>0.0</v>
      </c>
      <c r="K131" s="5">
        <v>0.0</v>
      </c>
      <c r="L131" s="5">
        <f t="shared" si="28"/>
        <v>0</v>
      </c>
      <c r="M131" s="5">
        <f t="shared" si="31"/>
        <v>0</v>
      </c>
      <c r="N131" s="5">
        <v>0.0</v>
      </c>
      <c r="O131" s="36">
        <v>0.0</v>
      </c>
      <c r="P131" s="8"/>
      <c r="Q131" s="5">
        <v>0.0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24">
        <v>46125.0</v>
      </c>
      <c r="B132" s="25" t="s">
        <v>30</v>
      </c>
      <c r="C132" s="25">
        <v>1000.0</v>
      </c>
      <c r="D132" s="26" t="str">
        <f t="shared" si="26"/>
        <v>#DIV/0!</v>
      </c>
      <c r="E132" s="5"/>
      <c r="F132" s="5">
        <f t="shared" si="30"/>
        <v>0</v>
      </c>
      <c r="G132" s="5"/>
      <c r="H132" s="5"/>
      <c r="I132" s="5">
        <f t="shared" si="32"/>
        <v>0</v>
      </c>
      <c r="J132" s="5"/>
      <c r="K132" s="5"/>
      <c r="L132" s="5">
        <f t="shared" si="28"/>
        <v>0</v>
      </c>
      <c r="M132" s="5">
        <f t="shared" si="31"/>
        <v>0</v>
      </c>
      <c r="N132" s="5"/>
      <c r="O132" s="7"/>
      <c r="P132" s="8"/>
      <c r="Q132" s="5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24">
        <v>46126.0</v>
      </c>
      <c r="B133" s="25" t="s">
        <v>32</v>
      </c>
      <c r="C133" s="25">
        <v>1000.0</v>
      </c>
      <c r="D133" s="26" t="str">
        <f t="shared" si="26"/>
        <v>#DIV/0!</v>
      </c>
      <c r="E133" s="5"/>
      <c r="F133" s="5">
        <f t="shared" si="30"/>
        <v>0</v>
      </c>
      <c r="G133" s="5"/>
      <c r="H133" s="5"/>
      <c r="I133" s="5">
        <f t="shared" si="32"/>
        <v>0</v>
      </c>
      <c r="J133" s="5"/>
      <c r="K133" s="5"/>
      <c r="L133" s="5">
        <f t="shared" si="28"/>
        <v>0</v>
      </c>
      <c r="M133" s="5">
        <f t="shared" si="31"/>
        <v>0</v>
      </c>
      <c r="N133" s="5"/>
      <c r="O133" s="7"/>
      <c r="P133" s="8"/>
      <c r="Q133" s="5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24">
        <v>46127.0</v>
      </c>
      <c r="B134" s="25" t="s">
        <v>33</v>
      </c>
      <c r="C134" s="25">
        <v>1000.0</v>
      </c>
      <c r="D134" s="26" t="str">
        <f t="shared" si="26"/>
        <v>#DIV/0!</v>
      </c>
      <c r="E134" s="5"/>
      <c r="F134" s="5">
        <f t="shared" si="30"/>
        <v>0</v>
      </c>
      <c r="G134" s="5"/>
      <c r="H134" s="5"/>
      <c r="I134" s="5">
        <f t="shared" si="32"/>
        <v>0</v>
      </c>
      <c r="J134" s="5"/>
      <c r="K134" s="5"/>
      <c r="L134" s="5">
        <f t="shared" si="28"/>
        <v>0</v>
      </c>
      <c r="M134" s="5">
        <f t="shared" si="31"/>
        <v>0</v>
      </c>
      <c r="N134" s="5"/>
      <c r="O134" s="7"/>
      <c r="P134" s="8"/>
      <c r="Q134" s="5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24">
        <v>46128.0</v>
      </c>
      <c r="B135" s="25" t="s">
        <v>25</v>
      </c>
      <c r="C135" s="25">
        <v>1000.0</v>
      </c>
      <c r="D135" s="26" t="str">
        <f t="shared" si="26"/>
        <v>#DIV/0!</v>
      </c>
      <c r="E135" s="5"/>
      <c r="F135" s="5">
        <f t="shared" si="30"/>
        <v>0</v>
      </c>
      <c r="G135" s="5"/>
      <c r="H135" s="5"/>
      <c r="I135" s="5">
        <f t="shared" si="32"/>
        <v>0</v>
      </c>
      <c r="J135" s="5"/>
      <c r="K135" s="5"/>
      <c r="L135" s="5">
        <f t="shared" si="28"/>
        <v>0</v>
      </c>
      <c r="M135" s="5">
        <f t="shared" si="31"/>
        <v>0</v>
      </c>
      <c r="N135" s="5"/>
      <c r="O135" s="7"/>
      <c r="P135" s="8"/>
      <c r="Q135" s="5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24">
        <v>46129.0</v>
      </c>
      <c r="B136" s="25" t="s">
        <v>27</v>
      </c>
      <c r="C136" s="25">
        <v>1000.0</v>
      </c>
      <c r="D136" s="26" t="str">
        <f t="shared" si="26"/>
        <v>#DIV/0!</v>
      </c>
      <c r="E136" s="5"/>
      <c r="F136" s="5">
        <f t="shared" si="30"/>
        <v>0</v>
      </c>
      <c r="G136" s="5"/>
      <c r="H136" s="5"/>
      <c r="I136" s="5">
        <f t="shared" si="32"/>
        <v>0</v>
      </c>
      <c r="J136" s="5"/>
      <c r="K136" s="5"/>
      <c r="L136" s="5">
        <f t="shared" si="28"/>
        <v>0</v>
      </c>
      <c r="M136" s="5">
        <f t="shared" si="31"/>
        <v>0</v>
      </c>
      <c r="N136" s="5"/>
      <c r="O136" s="7"/>
      <c r="P136" s="8"/>
      <c r="Q136" s="5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24">
        <v>46130.0</v>
      </c>
      <c r="B137" s="25" t="s">
        <v>28</v>
      </c>
      <c r="C137" s="25">
        <v>1000.0</v>
      </c>
      <c r="D137" s="26" t="str">
        <f t="shared" si="26"/>
        <v>#DIV/0!</v>
      </c>
      <c r="E137" s="5"/>
      <c r="F137" s="5">
        <f t="shared" si="30"/>
        <v>0</v>
      </c>
      <c r="G137" s="5"/>
      <c r="H137" s="5"/>
      <c r="I137" s="5">
        <f t="shared" si="32"/>
        <v>0</v>
      </c>
      <c r="J137" s="5"/>
      <c r="K137" s="5"/>
      <c r="L137" s="5">
        <f t="shared" si="28"/>
        <v>0</v>
      </c>
      <c r="M137" s="5">
        <f t="shared" si="31"/>
        <v>0</v>
      </c>
      <c r="N137" s="5"/>
      <c r="O137" s="7"/>
      <c r="P137" s="8"/>
      <c r="Q137" s="5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24">
        <v>46131.0</v>
      </c>
      <c r="B138" s="25" t="s">
        <v>29</v>
      </c>
      <c r="C138" s="25">
        <v>1000.0</v>
      </c>
      <c r="D138" s="26" t="str">
        <f t="shared" si="26"/>
        <v>#DIV/0!</v>
      </c>
      <c r="E138" s="25">
        <v>0.0</v>
      </c>
      <c r="F138" s="5">
        <f t="shared" si="30"/>
        <v>0</v>
      </c>
      <c r="G138" s="5">
        <v>0.0</v>
      </c>
      <c r="H138" s="5">
        <v>0.0</v>
      </c>
      <c r="I138" s="5">
        <f t="shared" si="32"/>
        <v>0</v>
      </c>
      <c r="J138" s="5">
        <v>0.0</v>
      </c>
      <c r="K138" s="5">
        <v>0.0</v>
      </c>
      <c r="L138" s="5">
        <f t="shared" si="28"/>
        <v>0</v>
      </c>
      <c r="M138" s="5">
        <f t="shared" si="31"/>
        <v>0</v>
      </c>
      <c r="N138" s="5">
        <v>0.0</v>
      </c>
      <c r="O138" s="7">
        <v>0.0</v>
      </c>
      <c r="P138" s="8"/>
      <c r="Q138" s="5">
        <v>0.0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24">
        <v>46132.0</v>
      </c>
      <c r="B139" s="25" t="s">
        <v>30</v>
      </c>
      <c r="C139" s="25">
        <v>1000.0</v>
      </c>
      <c r="D139" s="26" t="str">
        <f t="shared" si="26"/>
        <v>#DIV/0!</v>
      </c>
      <c r="E139" s="5"/>
      <c r="F139" s="5">
        <f t="shared" si="30"/>
        <v>0</v>
      </c>
      <c r="G139" s="5"/>
      <c r="H139" s="5"/>
      <c r="I139" s="5">
        <f t="shared" si="32"/>
        <v>0</v>
      </c>
      <c r="J139" s="5"/>
      <c r="K139" s="5"/>
      <c r="L139" s="5">
        <f t="shared" si="28"/>
        <v>0</v>
      </c>
      <c r="M139" s="5">
        <f t="shared" si="31"/>
        <v>0</v>
      </c>
      <c r="N139" s="5"/>
      <c r="O139" s="7"/>
      <c r="P139" s="8"/>
      <c r="Q139" s="5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24">
        <v>46133.0</v>
      </c>
      <c r="B140" s="25" t="s">
        <v>32</v>
      </c>
      <c r="C140" s="25">
        <v>1000.0</v>
      </c>
      <c r="D140" s="26" t="str">
        <f t="shared" si="26"/>
        <v>#DIV/0!</v>
      </c>
      <c r="E140" s="5"/>
      <c r="F140" s="5">
        <f t="shared" si="30"/>
        <v>0</v>
      </c>
      <c r="G140" s="5"/>
      <c r="H140" s="5"/>
      <c r="I140" s="5">
        <f t="shared" si="32"/>
        <v>0</v>
      </c>
      <c r="J140" s="5"/>
      <c r="K140" s="5"/>
      <c r="L140" s="5">
        <f t="shared" si="28"/>
        <v>0</v>
      </c>
      <c r="M140" s="5">
        <f t="shared" si="31"/>
        <v>0</v>
      </c>
      <c r="N140" s="5"/>
      <c r="O140" s="7"/>
      <c r="P140" s="8"/>
      <c r="Q140" s="5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4">
        <v>46134.0</v>
      </c>
      <c r="B141" s="25" t="s">
        <v>33</v>
      </c>
      <c r="C141" s="25">
        <v>1000.0</v>
      </c>
      <c r="D141" s="26" t="str">
        <f t="shared" si="26"/>
        <v>#DIV/0!</v>
      </c>
      <c r="E141" s="5"/>
      <c r="F141" s="5">
        <f t="shared" si="30"/>
        <v>0</v>
      </c>
      <c r="G141" s="5"/>
      <c r="H141" s="5"/>
      <c r="I141" s="5">
        <f t="shared" si="32"/>
        <v>0</v>
      </c>
      <c r="J141" s="5"/>
      <c r="K141" s="5"/>
      <c r="L141" s="5">
        <f t="shared" si="28"/>
        <v>0</v>
      </c>
      <c r="M141" s="5">
        <f t="shared" si="31"/>
        <v>0</v>
      </c>
      <c r="N141" s="5"/>
      <c r="O141" s="7"/>
      <c r="P141" s="8"/>
      <c r="Q141" s="5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24">
        <v>46135.0</v>
      </c>
      <c r="B142" s="25" t="s">
        <v>25</v>
      </c>
      <c r="C142" s="25">
        <v>1000.0</v>
      </c>
      <c r="D142" s="26" t="str">
        <f t="shared" si="26"/>
        <v>#DIV/0!</v>
      </c>
      <c r="E142" s="5"/>
      <c r="F142" s="5">
        <f t="shared" si="30"/>
        <v>0</v>
      </c>
      <c r="G142" s="5"/>
      <c r="H142" s="5"/>
      <c r="I142" s="5">
        <f t="shared" si="32"/>
        <v>0</v>
      </c>
      <c r="J142" s="5"/>
      <c r="K142" s="5"/>
      <c r="L142" s="5">
        <f t="shared" si="28"/>
        <v>0</v>
      </c>
      <c r="M142" s="5">
        <f t="shared" si="31"/>
        <v>0</v>
      </c>
      <c r="N142" s="5"/>
      <c r="O142" s="7"/>
      <c r="P142" s="8"/>
      <c r="Q142" s="5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24">
        <v>46136.0</v>
      </c>
      <c r="B143" s="25" t="s">
        <v>27</v>
      </c>
      <c r="C143" s="25">
        <v>1000.0</v>
      </c>
      <c r="D143" s="26" t="str">
        <f t="shared" si="26"/>
        <v>#DIV/0!</v>
      </c>
      <c r="E143" s="5"/>
      <c r="F143" s="5">
        <f t="shared" si="30"/>
        <v>0</v>
      </c>
      <c r="G143" s="5"/>
      <c r="H143" s="5"/>
      <c r="I143" s="5">
        <f t="shared" si="32"/>
        <v>0</v>
      </c>
      <c r="J143" s="5"/>
      <c r="K143" s="5"/>
      <c r="L143" s="5">
        <f t="shared" si="28"/>
        <v>0</v>
      </c>
      <c r="M143" s="5">
        <f t="shared" si="31"/>
        <v>0</v>
      </c>
      <c r="N143" s="5"/>
      <c r="O143" s="7"/>
      <c r="P143" s="8"/>
      <c r="Q143" s="5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24">
        <v>46137.0</v>
      </c>
      <c r="B144" s="25" t="s">
        <v>28</v>
      </c>
      <c r="C144" s="25">
        <v>1000.0</v>
      </c>
      <c r="D144" s="26" t="str">
        <f t="shared" si="26"/>
        <v>#DIV/0!</v>
      </c>
      <c r="E144" s="5"/>
      <c r="F144" s="5">
        <f t="shared" si="30"/>
        <v>0</v>
      </c>
      <c r="G144" s="5"/>
      <c r="H144" s="5"/>
      <c r="I144" s="5">
        <f t="shared" si="32"/>
        <v>0</v>
      </c>
      <c r="J144" s="5"/>
      <c r="K144" s="5"/>
      <c r="L144" s="5">
        <f t="shared" si="28"/>
        <v>0</v>
      </c>
      <c r="M144" s="5">
        <f t="shared" si="31"/>
        <v>0</v>
      </c>
      <c r="N144" s="5"/>
      <c r="O144" s="7"/>
      <c r="P144" s="8"/>
      <c r="Q144" s="5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24">
        <v>46138.0</v>
      </c>
      <c r="B145" s="25" t="s">
        <v>29</v>
      </c>
      <c r="C145" s="25">
        <v>1000.0</v>
      </c>
      <c r="D145" s="26" t="str">
        <f t="shared" si="26"/>
        <v>#DIV/0!</v>
      </c>
      <c r="E145" s="25">
        <v>0.0</v>
      </c>
      <c r="F145" s="5">
        <f t="shared" si="30"/>
        <v>0</v>
      </c>
      <c r="G145" s="5">
        <v>0.0</v>
      </c>
      <c r="H145" s="5">
        <v>0.0</v>
      </c>
      <c r="I145" s="5">
        <f t="shared" si="32"/>
        <v>0</v>
      </c>
      <c r="J145" s="5">
        <v>0.0</v>
      </c>
      <c r="K145" s="5">
        <v>0.0</v>
      </c>
      <c r="L145" s="5">
        <f t="shared" si="28"/>
        <v>0</v>
      </c>
      <c r="M145" s="5">
        <f t="shared" si="31"/>
        <v>0</v>
      </c>
      <c r="N145" s="5">
        <v>0.0</v>
      </c>
      <c r="O145" s="7">
        <v>0.0</v>
      </c>
      <c r="P145" s="8"/>
      <c r="Q145" s="5">
        <v>0.0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24">
        <v>46139.0</v>
      </c>
      <c r="B146" s="25" t="s">
        <v>30</v>
      </c>
      <c r="C146" s="25">
        <v>1000.0</v>
      </c>
      <c r="D146" s="26" t="str">
        <f t="shared" si="26"/>
        <v>#DIV/0!</v>
      </c>
      <c r="E146" s="5"/>
      <c r="F146" s="5">
        <f t="shared" si="30"/>
        <v>0</v>
      </c>
      <c r="G146" s="5"/>
      <c r="H146" s="5"/>
      <c r="I146" s="5">
        <f t="shared" si="32"/>
        <v>0</v>
      </c>
      <c r="J146" s="5"/>
      <c r="K146" s="5"/>
      <c r="L146" s="5">
        <f t="shared" si="28"/>
        <v>0</v>
      </c>
      <c r="M146" s="5">
        <f t="shared" si="31"/>
        <v>0</v>
      </c>
      <c r="N146" s="5"/>
      <c r="O146" s="7"/>
      <c r="P146" s="8"/>
      <c r="Q146" s="5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24">
        <v>46140.0</v>
      </c>
      <c r="B147" s="25" t="s">
        <v>32</v>
      </c>
      <c r="C147" s="25">
        <v>1000.0</v>
      </c>
      <c r="D147" s="26" t="str">
        <f t="shared" si="26"/>
        <v>#DIV/0!</v>
      </c>
      <c r="E147" s="5"/>
      <c r="F147" s="5">
        <f t="shared" si="30"/>
        <v>0</v>
      </c>
      <c r="G147" s="5"/>
      <c r="H147" s="5"/>
      <c r="I147" s="5">
        <f t="shared" si="32"/>
        <v>0</v>
      </c>
      <c r="J147" s="5"/>
      <c r="K147" s="5"/>
      <c r="L147" s="5">
        <f t="shared" si="28"/>
        <v>0</v>
      </c>
      <c r="M147" s="5">
        <f t="shared" si="31"/>
        <v>0</v>
      </c>
      <c r="N147" s="5"/>
      <c r="O147" s="7"/>
      <c r="P147" s="8"/>
      <c r="Q147" s="5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24">
        <v>46141.0</v>
      </c>
      <c r="B148" s="25" t="s">
        <v>33</v>
      </c>
      <c r="C148" s="25">
        <v>1000.0</v>
      </c>
      <c r="D148" s="26" t="str">
        <f t="shared" si="26"/>
        <v>#DIV/0!</v>
      </c>
      <c r="E148" s="5"/>
      <c r="F148" s="5">
        <f t="shared" si="30"/>
        <v>0</v>
      </c>
      <c r="G148" s="5"/>
      <c r="H148" s="5"/>
      <c r="I148" s="5">
        <f t="shared" si="32"/>
        <v>0</v>
      </c>
      <c r="J148" s="5"/>
      <c r="K148" s="5"/>
      <c r="L148" s="5">
        <f t="shared" si="28"/>
        <v>0</v>
      </c>
      <c r="M148" s="5">
        <f t="shared" si="31"/>
        <v>0</v>
      </c>
      <c r="N148" s="5"/>
      <c r="O148" s="7"/>
      <c r="P148" s="8"/>
      <c r="Q148" s="5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24">
        <v>46142.0</v>
      </c>
      <c r="B149" s="25" t="s">
        <v>25</v>
      </c>
      <c r="C149" s="25">
        <v>1000.0</v>
      </c>
      <c r="D149" s="26" t="str">
        <f t="shared" si="26"/>
        <v>#DIV/0!</v>
      </c>
      <c r="E149" s="5"/>
      <c r="F149" s="5">
        <f t="shared" si="30"/>
        <v>0</v>
      </c>
      <c r="G149" s="5"/>
      <c r="H149" s="5"/>
      <c r="I149" s="5">
        <f t="shared" si="32"/>
        <v>0</v>
      </c>
      <c r="J149" s="5"/>
      <c r="K149" s="5"/>
      <c r="L149" s="5">
        <f t="shared" si="28"/>
        <v>0</v>
      </c>
      <c r="M149" s="5">
        <f t="shared" si="31"/>
        <v>0</v>
      </c>
      <c r="N149" s="5"/>
      <c r="O149" s="7"/>
      <c r="P149" s="8"/>
      <c r="Q149" s="5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24">
        <v>46143.0</v>
      </c>
      <c r="B150" s="25" t="s">
        <v>27</v>
      </c>
      <c r="C150" s="25">
        <v>1000.0</v>
      </c>
      <c r="D150" s="26" t="str">
        <f t="shared" si="26"/>
        <v>#DIV/0!</v>
      </c>
      <c r="E150" s="5"/>
      <c r="F150" s="5">
        <f t="shared" si="30"/>
        <v>0</v>
      </c>
      <c r="G150" s="5"/>
      <c r="H150" s="5"/>
      <c r="I150" s="5">
        <f t="shared" si="32"/>
        <v>0</v>
      </c>
      <c r="J150" s="5"/>
      <c r="K150" s="5"/>
      <c r="L150" s="5">
        <f t="shared" si="28"/>
        <v>0</v>
      </c>
      <c r="M150" s="5">
        <f t="shared" si="31"/>
        <v>0</v>
      </c>
      <c r="N150" s="5"/>
      <c r="O150" s="7"/>
      <c r="P150" s="8"/>
      <c r="Q150" s="5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24">
        <v>46144.0</v>
      </c>
      <c r="B151" s="25" t="s">
        <v>28</v>
      </c>
      <c r="C151" s="25">
        <v>1000.0</v>
      </c>
      <c r="D151" s="26" t="str">
        <f t="shared" si="26"/>
        <v>#DIV/0!</v>
      </c>
      <c r="E151" s="5"/>
      <c r="F151" s="5">
        <f t="shared" si="30"/>
        <v>0</v>
      </c>
      <c r="G151" s="5"/>
      <c r="H151" s="5"/>
      <c r="I151" s="5">
        <f t="shared" si="32"/>
        <v>0</v>
      </c>
      <c r="J151" s="5"/>
      <c r="K151" s="5"/>
      <c r="L151" s="5">
        <f t="shared" si="28"/>
        <v>0</v>
      </c>
      <c r="M151" s="5">
        <f t="shared" si="31"/>
        <v>0</v>
      </c>
      <c r="N151" s="5"/>
      <c r="O151" s="7"/>
      <c r="P151" s="8"/>
      <c r="Q151" s="5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24">
        <v>46145.0</v>
      </c>
      <c r="B152" s="25" t="s">
        <v>29</v>
      </c>
      <c r="C152" s="25">
        <v>1000.0</v>
      </c>
      <c r="D152" s="26" t="str">
        <f t="shared" si="26"/>
        <v>#DIV/0!</v>
      </c>
      <c r="E152" s="25">
        <v>0.0</v>
      </c>
      <c r="F152" s="5">
        <f t="shared" si="30"/>
        <v>0</v>
      </c>
      <c r="G152" s="5">
        <v>0.0</v>
      </c>
      <c r="H152" s="5">
        <v>0.0</v>
      </c>
      <c r="I152" s="5">
        <f t="shared" si="32"/>
        <v>0</v>
      </c>
      <c r="J152" s="5">
        <v>0.0</v>
      </c>
      <c r="K152" s="5">
        <v>0.0</v>
      </c>
      <c r="L152" s="5">
        <f t="shared" si="28"/>
        <v>0</v>
      </c>
      <c r="M152" s="5">
        <f t="shared" si="31"/>
        <v>0</v>
      </c>
      <c r="N152" s="5">
        <v>0.0</v>
      </c>
      <c r="O152" s="7">
        <v>0.0</v>
      </c>
      <c r="P152" s="8"/>
      <c r="Q152" s="5">
        <v>0.0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24">
        <v>46146.0</v>
      </c>
      <c r="B153" s="25" t="s">
        <v>30</v>
      </c>
      <c r="C153" s="25">
        <v>1000.0</v>
      </c>
      <c r="D153" s="26" t="str">
        <f t="shared" si="26"/>
        <v>#DIV/0!</v>
      </c>
      <c r="E153" s="5"/>
      <c r="F153" s="5">
        <f t="shared" si="30"/>
        <v>0</v>
      </c>
      <c r="G153" s="5"/>
      <c r="H153" s="5"/>
      <c r="I153" s="5">
        <f t="shared" si="32"/>
        <v>0</v>
      </c>
      <c r="J153" s="5"/>
      <c r="K153" s="5"/>
      <c r="L153" s="5">
        <f t="shared" si="28"/>
        <v>0</v>
      </c>
      <c r="M153" s="5">
        <f t="shared" si="31"/>
        <v>0</v>
      </c>
      <c r="N153" s="5"/>
      <c r="O153" s="7"/>
      <c r="P153" s="8"/>
      <c r="Q153" s="5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24">
        <v>46147.0</v>
      </c>
      <c r="B154" s="25" t="s">
        <v>32</v>
      </c>
      <c r="C154" s="25">
        <v>1000.0</v>
      </c>
      <c r="D154" s="26" t="str">
        <f t="shared" si="26"/>
        <v>#DIV/0!</v>
      </c>
      <c r="E154" s="5"/>
      <c r="F154" s="5">
        <f t="shared" si="30"/>
        <v>0</v>
      </c>
      <c r="G154" s="5"/>
      <c r="H154" s="5"/>
      <c r="I154" s="5">
        <f t="shared" si="32"/>
        <v>0</v>
      </c>
      <c r="J154" s="5"/>
      <c r="K154" s="5"/>
      <c r="L154" s="5">
        <f t="shared" si="28"/>
        <v>0</v>
      </c>
      <c r="M154" s="5">
        <f t="shared" si="31"/>
        <v>0</v>
      </c>
      <c r="N154" s="5"/>
      <c r="O154" s="7"/>
      <c r="P154" s="8"/>
      <c r="Q154" s="5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24">
        <v>46148.0</v>
      </c>
      <c r="B155" s="25" t="s">
        <v>33</v>
      </c>
      <c r="C155" s="25">
        <v>1000.0</v>
      </c>
      <c r="D155" s="26" t="str">
        <f t="shared" si="26"/>
        <v>#DIV/0!</v>
      </c>
      <c r="E155" s="5"/>
      <c r="F155" s="5">
        <f t="shared" si="30"/>
        <v>0</v>
      </c>
      <c r="G155" s="5"/>
      <c r="H155" s="5"/>
      <c r="I155" s="5">
        <f t="shared" si="32"/>
        <v>0</v>
      </c>
      <c r="J155" s="5"/>
      <c r="K155" s="5"/>
      <c r="L155" s="5">
        <f t="shared" si="28"/>
        <v>0</v>
      </c>
      <c r="M155" s="5">
        <f t="shared" si="31"/>
        <v>0</v>
      </c>
      <c r="N155" s="5"/>
      <c r="O155" s="7"/>
      <c r="P155" s="8"/>
      <c r="Q155" s="5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24">
        <v>46149.0</v>
      </c>
      <c r="B156" s="25" t="s">
        <v>25</v>
      </c>
      <c r="C156" s="25">
        <v>1000.0</v>
      </c>
      <c r="D156" s="26" t="str">
        <f t="shared" si="26"/>
        <v>#DIV/0!</v>
      </c>
      <c r="E156" s="5"/>
      <c r="F156" s="5">
        <f t="shared" si="30"/>
        <v>0</v>
      </c>
      <c r="G156" s="5"/>
      <c r="H156" s="5"/>
      <c r="I156" s="5">
        <f t="shared" si="32"/>
        <v>0</v>
      </c>
      <c r="J156" s="5"/>
      <c r="K156" s="5"/>
      <c r="L156" s="5">
        <f t="shared" si="28"/>
        <v>0</v>
      </c>
      <c r="M156" s="5">
        <f t="shared" si="31"/>
        <v>0</v>
      </c>
      <c r="N156" s="5"/>
      <c r="O156" s="7"/>
      <c r="P156" s="8"/>
      <c r="Q156" s="5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24">
        <v>46150.0</v>
      </c>
      <c r="B157" s="25" t="s">
        <v>27</v>
      </c>
      <c r="C157" s="25">
        <v>1000.0</v>
      </c>
      <c r="D157" s="26" t="str">
        <f t="shared" si="26"/>
        <v>#DIV/0!</v>
      </c>
      <c r="E157" s="5"/>
      <c r="F157" s="5">
        <f t="shared" si="30"/>
        <v>0</v>
      </c>
      <c r="G157" s="5"/>
      <c r="H157" s="5"/>
      <c r="I157" s="5">
        <f t="shared" si="32"/>
        <v>0</v>
      </c>
      <c r="J157" s="5"/>
      <c r="K157" s="5"/>
      <c r="L157" s="5">
        <f t="shared" si="28"/>
        <v>0</v>
      </c>
      <c r="M157" s="5">
        <f t="shared" si="31"/>
        <v>0</v>
      </c>
      <c r="N157" s="5"/>
      <c r="O157" s="7"/>
      <c r="P157" s="8"/>
      <c r="Q157" s="5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24">
        <v>46151.0</v>
      </c>
      <c r="B158" s="25" t="s">
        <v>28</v>
      </c>
      <c r="C158" s="25">
        <v>1000.0</v>
      </c>
      <c r="D158" s="26" t="str">
        <f t="shared" si="26"/>
        <v>#DIV/0!</v>
      </c>
      <c r="E158" s="5"/>
      <c r="F158" s="5">
        <f t="shared" si="30"/>
        <v>0</v>
      </c>
      <c r="G158" s="5"/>
      <c r="H158" s="5"/>
      <c r="I158" s="5">
        <f t="shared" si="32"/>
        <v>0</v>
      </c>
      <c r="J158" s="5"/>
      <c r="K158" s="5"/>
      <c r="L158" s="5">
        <f t="shared" si="28"/>
        <v>0</v>
      </c>
      <c r="M158" s="5">
        <f t="shared" si="31"/>
        <v>0</v>
      </c>
      <c r="N158" s="5"/>
      <c r="O158" s="7"/>
      <c r="P158" s="8"/>
      <c r="Q158" s="5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24">
        <v>46152.0</v>
      </c>
      <c r="B159" s="25" t="s">
        <v>29</v>
      </c>
      <c r="C159" s="25">
        <v>1000.0</v>
      </c>
      <c r="D159" s="26" t="str">
        <f t="shared" si="26"/>
        <v>#DIV/0!</v>
      </c>
      <c r="E159" s="25">
        <v>0.0</v>
      </c>
      <c r="F159" s="5">
        <f t="shared" si="30"/>
        <v>0</v>
      </c>
      <c r="G159" s="5">
        <v>0.0</v>
      </c>
      <c r="H159" s="5">
        <v>0.0</v>
      </c>
      <c r="I159" s="5">
        <f t="shared" si="32"/>
        <v>0</v>
      </c>
      <c r="J159" s="5">
        <v>0.0</v>
      </c>
      <c r="K159" s="5">
        <v>0.0</v>
      </c>
      <c r="L159" s="5">
        <f t="shared" si="28"/>
        <v>0</v>
      </c>
      <c r="M159" s="5">
        <f t="shared" si="31"/>
        <v>0</v>
      </c>
      <c r="N159" s="5">
        <v>0.0</v>
      </c>
      <c r="O159" s="7">
        <v>0.0</v>
      </c>
      <c r="P159" s="8"/>
      <c r="Q159" s="5">
        <v>0.0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24">
        <v>46153.0</v>
      </c>
      <c r="B160" s="25" t="s">
        <v>30</v>
      </c>
      <c r="C160" s="25">
        <v>1000.0</v>
      </c>
      <c r="D160" s="26" t="str">
        <f t="shared" si="26"/>
        <v>#DIV/0!</v>
      </c>
      <c r="E160" s="5"/>
      <c r="F160" s="5">
        <f t="shared" si="30"/>
        <v>0</v>
      </c>
      <c r="G160" s="5"/>
      <c r="H160" s="5"/>
      <c r="I160" s="5">
        <f t="shared" si="32"/>
        <v>0</v>
      </c>
      <c r="J160" s="5"/>
      <c r="K160" s="5"/>
      <c r="L160" s="5">
        <f t="shared" si="28"/>
        <v>0</v>
      </c>
      <c r="M160" s="5">
        <f t="shared" si="31"/>
        <v>0</v>
      </c>
      <c r="N160" s="5"/>
      <c r="O160" s="7"/>
      <c r="P160" s="8"/>
      <c r="Q160" s="5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24">
        <v>46154.0</v>
      </c>
      <c r="B161" s="25" t="s">
        <v>32</v>
      </c>
      <c r="C161" s="25">
        <v>1000.0</v>
      </c>
      <c r="D161" s="26" t="str">
        <f t="shared" si="26"/>
        <v>#DIV/0!</v>
      </c>
      <c r="E161" s="5"/>
      <c r="F161" s="5">
        <f t="shared" si="30"/>
        <v>0</v>
      </c>
      <c r="G161" s="5"/>
      <c r="H161" s="5"/>
      <c r="I161" s="5">
        <f t="shared" si="32"/>
        <v>0</v>
      </c>
      <c r="J161" s="5"/>
      <c r="K161" s="5"/>
      <c r="L161" s="5">
        <f t="shared" si="28"/>
        <v>0</v>
      </c>
      <c r="M161" s="5">
        <f t="shared" si="31"/>
        <v>0</v>
      </c>
      <c r="N161" s="5"/>
      <c r="O161" s="7"/>
      <c r="P161" s="8"/>
      <c r="Q161" s="5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24">
        <v>46155.0</v>
      </c>
      <c r="B162" s="25" t="s">
        <v>33</v>
      </c>
      <c r="C162" s="25">
        <v>1000.0</v>
      </c>
      <c r="D162" s="26" t="str">
        <f t="shared" si="26"/>
        <v>#DIV/0!</v>
      </c>
      <c r="E162" s="5"/>
      <c r="F162" s="5">
        <f t="shared" si="30"/>
        <v>0</v>
      </c>
      <c r="G162" s="5"/>
      <c r="H162" s="5"/>
      <c r="I162" s="5">
        <f t="shared" si="32"/>
        <v>0</v>
      </c>
      <c r="J162" s="5"/>
      <c r="K162" s="5"/>
      <c r="L162" s="5">
        <f t="shared" si="28"/>
        <v>0</v>
      </c>
      <c r="M162" s="5">
        <f t="shared" si="31"/>
        <v>0</v>
      </c>
      <c r="N162" s="5"/>
      <c r="O162" s="7"/>
      <c r="P162" s="8"/>
      <c r="Q162" s="5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24">
        <v>46156.0</v>
      </c>
      <c r="B163" s="25" t="s">
        <v>25</v>
      </c>
      <c r="C163" s="25">
        <v>1000.0</v>
      </c>
      <c r="D163" s="26" t="str">
        <f t="shared" si="26"/>
        <v>#DIV/0!</v>
      </c>
      <c r="E163" s="5"/>
      <c r="F163" s="5">
        <f t="shared" si="30"/>
        <v>0</v>
      </c>
      <c r="G163" s="5"/>
      <c r="H163" s="5"/>
      <c r="I163" s="5">
        <f t="shared" si="32"/>
        <v>0</v>
      </c>
      <c r="J163" s="5"/>
      <c r="K163" s="5"/>
      <c r="L163" s="5">
        <f t="shared" si="28"/>
        <v>0</v>
      </c>
      <c r="M163" s="5">
        <f t="shared" si="31"/>
        <v>0</v>
      </c>
      <c r="N163" s="5"/>
      <c r="O163" s="7"/>
      <c r="P163" s="8"/>
      <c r="Q163" s="5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24">
        <v>46157.0</v>
      </c>
      <c r="B164" s="25" t="s">
        <v>27</v>
      </c>
      <c r="C164" s="25">
        <v>1000.0</v>
      </c>
      <c r="D164" s="26" t="str">
        <f t="shared" si="26"/>
        <v>#DIV/0!</v>
      </c>
      <c r="E164" s="5"/>
      <c r="F164" s="5">
        <f t="shared" si="30"/>
        <v>0</v>
      </c>
      <c r="G164" s="5"/>
      <c r="H164" s="5"/>
      <c r="I164" s="5">
        <f t="shared" si="32"/>
        <v>0</v>
      </c>
      <c r="J164" s="5"/>
      <c r="K164" s="5"/>
      <c r="L164" s="5">
        <f t="shared" si="28"/>
        <v>0</v>
      </c>
      <c r="M164" s="5">
        <f t="shared" si="31"/>
        <v>0</v>
      </c>
      <c r="N164" s="5"/>
      <c r="O164" s="7"/>
      <c r="P164" s="8"/>
      <c r="Q164" s="5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24">
        <v>46158.0</v>
      </c>
      <c r="B165" s="25" t="s">
        <v>28</v>
      </c>
      <c r="C165" s="25">
        <v>1000.0</v>
      </c>
      <c r="D165" s="26" t="str">
        <f t="shared" si="26"/>
        <v>#DIV/0!</v>
      </c>
      <c r="E165" s="5"/>
      <c r="F165" s="5">
        <f t="shared" si="30"/>
        <v>0</v>
      </c>
      <c r="G165" s="5"/>
      <c r="H165" s="5"/>
      <c r="I165" s="5">
        <f t="shared" si="32"/>
        <v>0</v>
      </c>
      <c r="J165" s="5"/>
      <c r="K165" s="5"/>
      <c r="L165" s="5">
        <f t="shared" si="28"/>
        <v>0</v>
      </c>
      <c r="M165" s="5">
        <f t="shared" si="31"/>
        <v>0</v>
      </c>
      <c r="N165" s="5"/>
      <c r="O165" s="7"/>
      <c r="P165" s="8"/>
      <c r="Q165" s="5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24">
        <v>46159.0</v>
      </c>
      <c r="B166" s="25" t="s">
        <v>29</v>
      </c>
      <c r="C166" s="25">
        <v>1000.0</v>
      </c>
      <c r="D166" s="26" t="str">
        <f t="shared" si="26"/>
        <v>#DIV/0!</v>
      </c>
      <c r="E166" s="25">
        <v>0.0</v>
      </c>
      <c r="F166" s="5">
        <f t="shared" si="30"/>
        <v>0</v>
      </c>
      <c r="G166" s="5">
        <v>0.0</v>
      </c>
      <c r="H166" s="5">
        <v>0.0</v>
      </c>
      <c r="I166" s="5">
        <f t="shared" si="32"/>
        <v>0</v>
      </c>
      <c r="J166" s="5">
        <v>0.0</v>
      </c>
      <c r="K166" s="5">
        <v>0.0</v>
      </c>
      <c r="L166" s="5">
        <f t="shared" si="28"/>
        <v>0</v>
      </c>
      <c r="M166" s="5">
        <f t="shared" si="31"/>
        <v>0</v>
      </c>
      <c r="N166" s="5">
        <v>0.0</v>
      </c>
      <c r="O166" s="7">
        <v>0.0</v>
      </c>
      <c r="P166" s="8"/>
      <c r="Q166" s="5">
        <v>0.0</v>
      </c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24">
        <v>46160.0</v>
      </c>
      <c r="B167" s="25" t="s">
        <v>30</v>
      </c>
      <c r="C167" s="25">
        <v>1000.0</v>
      </c>
      <c r="D167" s="26" t="str">
        <f t="shared" si="26"/>
        <v>#DIV/0!</v>
      </c>
      <c r="E167" s="5"/>
      <c r="F167" s="5">
        <f t="shared" si="30"/>
        <v>0</v>
      </c>
      <c r="G167" s="5"/>
      <c r="H167" s="5"/>
      <c r="I167" s="5">
        <f t="shared" si="32"/>
        <v>0</v>
      </c>
      <c r="J167" s="5"/>
      <c r="K167" s="5"/>
      <c r="L167" s="5">
        <f t="shared" si="28"/>
        <v>0</v>
      </c>
      <c r="M167" s="5">
        <f t="shared" si="31"/>
        <v>0</v>
      </c>
      <c r="N167" s="5"/>
      <c r="O167" s="7"/>
      <c r="P167" s="8"/>
      <c r="Q167" s="5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24">
        <v>46161.0</v>
      </c>
      <c r="B168" s="25" t="s">
        <v>32</v>
      </c>
      <c r="C168" s="25">
        <v>1000.0</v>
      </c>
      <c r="D168" s="26" t="str">
        <f t="shared" si="26"/>
        <v>#DIV/0!</v>
      </c>
      <c r="E168" s="5"/>
      <c r="F168" s="5">
        <f t="shared" si="30"/>
        <v>0</v>
      </c>
      <c r="G168" s="5"/>
      <c r="H168" s="5"/>
      <c r="I168" s="5">
        <f t="shared" si="32"/>
        <v>0</v>
      </c>
      <c r="J168" s="5"/>
      <c r="K168" s="5"/>
      <c r="L168" s="5">
        <f t="shared" si="28"/>
        <v>0</v>
      </c>
      <c r="M168" s="5">
        <f t="shared" si="31"/>
        <v>0</v>
      </c>
      <c r="N168" s="5"/>
      <c r="O168" s="7"/>
      <c r="P168" s="8"/>
      <c r="Q168" s="5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24">
        <v>46162.0</v>
      </c>
      <c r="B169" s="25" t="s">
        <v>33</v>
      </c>
      <c r="C169" s="25">
        <v>1000.0</v>
      </c>
      <c r="D169" s="26" t="str">
        <f t="shared" si="26"/>
        <v>#DIV/0!</v>
      </c>
      <c r="E169" s="5"/>
      <c r="F169" s="5">
        <f t="shared" si="30"/>
        <v>0</v>
      </c>
      <c r="G169" s="5"/>
      <c r="H169" s="5"/>
      <c r="I169" s="5">
        <f t="shared" si="32"/>
        <v>0</v>
      </c>
      <c r="J169" s="5"/>
      <c r="K169" s="5"/>
      <c r="L169" s="5">
        <f t="shared" si="28"/>
        <v>0</v>
      </c>
      <c r="M169" s="5">
        <f t="shared" si="31"/>
        <v>0</v>
      </c>
      <c r="N169" s="5"/>
      <c r="O169" s="7"/>
      <c r="P169" s="8"/>
      <c r="Q169" s="5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24">
        <v>46163.0</v>
      </c>
      <c r="B170" s="25" t="s">
        <v>25</v>
      </c>
      <c r="C170" s="25">
        <v>1000.0</v>
      </c>
      <c r="D170" s="26" t="str">
        <f t="shared" si="26"/>
        <v>#DIV/0!</v>
      </c>
      <c r="E170" s="5"/>
      <c r="F170" s="5">
        <f t="shared" si="30"/>
        <v>0</v>
      </c>
      <c r="G170" s="5"/>
      <c r="H170" s="5"/>
      <c r="I170" s="5">
        <f t="shared" si="32"/>
        <v>0</v>
      </c>
      <c r="J170" s="5"/>
      <c r="K170" s="5"/>
      <c r="L170" s="5">
        <f t="shared" si="28"/>
        <v>0</v>
      </c>
      <c r="M170" s="5">
        <f t="shared" si="31"/>
        <v>0</v>
      </c>
      <c r="N170" s="5"/>
      <c r="O170" s="7"/>
      <c r="P170" s="8"/>
      <c r="Q170" s="5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24">
        <v>46164.0</v>
      </c>
      <c r="B171" s="25" t="s">
        <v>27</v>
      </c>
      <c r="C171" s="25">
        <v>1000.0</v>
      </c>
      <c r="D171" s="26" t="str">
        <f t="shared" si="26"/>
        <v>#DIV/0!</v>
      </c>
      <c r="E171" s="5"/>
      <c r="F171" s="5">
        <f t="shared" si="30"/>
        <v>0</v>
      </c>
      <c r="G171" s="5"/>
      <c r="H171" s="5"/>
      <c r="I171" s="5">
        <f t="shared" si="32"/>
        <v>0</v>
      </c>
      <c r="J171" s="5"/>
      <c r="K171" s="5"/>
      <c r="L171" s="5">
        <f t="shared" si="28"/>
        <v>0</v>
      </c>
      <c r="M171" s="5">
        <f t="shared" si="31"/>
        <v>0</v>
      </c>
      <c r="N171" s="5"/>
      <c r="O171" s="7"/>
      <c r="P171" s="8"/>
      <c r="Q171" s="5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24">
        <v>46165.0</v>
      </c>
      <c r="B172" s="25" t="s">
        <v>28</v>
      </c>
      <c r="C172" s="25">
        <v>1000.0</v>
      </c>
      <c r="D172" s="26" t="str">
        <f t="shared" si="26"/>
        <v>#DIV/0!</v>
      </c>
      <c r="E172" s="5"/>
      <c r="F172" s="5">
        <f t="shared" si="30"/>
        <v>0</v>
      </c>
      <c r="G172" s="5"/>
      <c r="H172" s="5"/>
      <c r="I172" s="5">
        <f t="shared" si="32"/>
        <v>0</v>
      </c>
      <c r="J172" s="5"/>
      <c r="K172" s="5"/>
      <c r="L172" s="5">
        <f t="shared" si="28"/>
        <v>0</v>
      </c>
      <c r="M172" s="5">
        <f t="shared" si="31"/>
        <v>0</v>
      </c>
      <c r="N172" s="5"/>
      <c r="O172" s="7"/>
      <c r="P172" s="8"/>
      <c r="Q172" s="5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24">
        <v>46166.0</v>
      </c>
      <c r="B173" s="25" t="s">
        <v>29</v>
      </c>
      <c r="C173" s="25">
        <v>1000.0</v>
      </c>
      <c r="D173" s="26" t="str">
        <f t="shared" si="26"/>
        <v>#DIV/0!</v>
      </c>
      <c r="E173" s="25">
        <v>0.0</v>
      </c>
      <c r="F173" s="5">
        <f t="shared" si="30"/>
        <v>0</v>
      </c>
      <c r="G173" s="5">
        <v>0.0</v>
      </c>
      <c r="H173" s="5">
        <v>0.0</v>
      </c>
      <c r="I173" s="5">
        <f t="shared" si="32"/>
        <v>0</v>
      </c>
      <c r="J173" s="5">
        <v>0.0</v>
      </c>
      <c r="K173" s="5">
        <v>0.0</v>
      </c>
      <c r="L173" s="5">
        <f t="shared" si="28"/>
        <v>0</v>
      </c>
      <c r="M173" s="5">
        <f t="shared" si="31"/>
        <v>0</v>
      </c>
      <c r="N173" s="5">
        <v>0.0</v>
      </c>
      <c r="O173" s="7">
        <v>0.0</v>
      </c>
      <c r="P173" s="8"/>
      <c r="Q173" s="5">
        <v>0.0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24">
        <v>46167.0</v>
      </c>
      <c r="B174" s="25" t="s">
        <v>30</v>
      </c>
      <c r="C174" s="25">
        <v>1000.0</v>
      </c>
      <c r="D174" s="26" t="str">
        <f t="shared" si="26"/>
        <v>#DIV/0!</v>
      </c>
      <c r="E174" s="5"/>
      <c r="F174" s="5">
        <f t="shared" si="30"/>
        <v>0</v>
      </c>
      <c r="G174" s="5"/>
      <c r="H174" s="5"/>
      <c r="I174" s="5">
        <f t="shared" si="32"/>
        <v>0</v>
      </c>
      <c r="J174" s="5"/>
      <c r="K174" s="5"/>
      <c r="L174" s="5">
        <f t="shared" si="28"/>
        <v>0</v>
      </c>
      <c r="M174" s="5">
        <f t="shared" si="31"/>
        <v>0</v>
      </c>
      <c r="N174" s="5"/>
      <c r="O174" s="7"/>
      <c r="P174" s="8"/>
      <c r="Q174" s="5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24">
        <v>46168.0</v>
      </c>
      <c r="B175" s="25" t="s">
        <v>32</v>
      </c>
      <c r="C175" s="25">
        <v>1000.0</v>
      </c>
      <c r="D175" s="26" t="str">
        <f t="shared" si="26"/>
        <v>#DIV/0!</v>
      </c>
      <c r="E175" s="5"/>
      <c r="F175" s="5">
        <f t="shared" si="30"/>
        <v>0</v>
      </c>
      <c r="G175" s="5"/>
      <c r="H175" s="5"/>
      <c r="I175" s="5">
        <f t="shared" si="32"/>
        <v>0</v>
      </c>
      <c r="J175" s="5"/>
      <c r="K175" s="5"/>
      <c r="L175" s="5">
        <f t="shared" si="28"/>
        <v>0</v>
      </c>
      <c r="M175" s="5">
        <f t="shared" si="31"/>
        <v>0</v>
      </c>
      <c r="N175" s="5"/>
      <c r="O175" s="7"/>
      <c r="P175" s="8"/>
      <c r="Q175" s="5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24">
        <v>46169.0</v>
      </c>
      <c r="B176" s="25" t="s">
        <v>33</v>
      </c>
      <c r="C176" s="25">
        <v>1000.0</v>
      </c>
      <c r="D176" s="26" t="str">
        <f t="shared" si="26"/>
        <v>#DIV/0!</v>
      </c>
      <c r="E176" s="5"/>
      <c r="F176" s="5">
        <f t="shared" si="30"/>
        <v>0</v>
      </c>
      <c r="G176" s="5"/>
      <c r="H176" s="5"/>
      <c r="I176" s="5">
        <f t="shared" si="32"/>
        <v>0</v>
      </c>
      <c r="J176" s="5"/>
      <c r="K176" s="5"/>
      <c r="L176" s="5">
        <f t="shared" si="28"/>
        <v>0</v>
      </c>
      <c r="M176" s="5">
        <f t="shared" si="31"/>
        <v>0</v>
      </c>
      <c r="N176" s="5"/>
      <c r="O176" s="7"/>
      <c r="P176" s="8"/>
      <c r="Q176" s="5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24">
        <v>46170.0</v>
      </c>
      <c r="B177" s="25" t="s">
        <v>25</v>
      </c>
      <c r="C177" s="25">
        <v>1000.0</v>
      </c>
      <c r="D177" s="26" t="str">
        <f t="shared" si="26"/>
        <v>#DIV/0!</v>
      </c>
      <c r="E177" s="5"/>
      <c r="F177" s="5">
        <f t="shared" si="30"/>
        <v>0</v>
      </c>
      <c r="G177" s="5"/>
      <c r="H177" s="5"/>
      <c r="I177" s="5">
        <f t="shared" si="32"/>
        <v>0</v>
      </c>
      <c r="J177" s="5"/>
      <c r="K177" s="5"/>
      <c r="L177" s="5">
        <f t="shared" si="28"/>
        <v>0</v>
      </c>
      <c r="M177" s="5">
        <f t="shared" si="31"/>
        <v>0</v>
      </c>
      <c r="N177" s="5"/>
      <c r="O177" s="7"/>
      <c r="P177" s="8"/>
      <c r="Q177" s="5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24">
        <v>46171.0</v>
      </c>
      <c r="B178" s="25" t="s">
        <v>27</v>
      </c>
      <c r="C178" s="25">
        <v>1000.0</v>
      </c>
      <c r="D178" s="26" t="str">
        <f t="shared" si="26"/>
        <v>#DIV/0!</v>
      </c>
      <c r="E178" s="5"/>
      <c r="F178" s="5">
        <f t="shared" si="30"/>
        <v>0</v>
      </c>
      <c r="G178" s="5"/>
      <c r="H178" s="5"/>
      <c r="I178" s="5">
        <f t="shared" si="32"/>
        <v>0</v>
      </c>
      <c r="J178" s="5"/>
      <c r="K178" s="5"/>
      <c r="L178" s="5">
        <f t="shared" si="28"/>
        <v>0</v>
      </c>
      <c r="M178" s="5">
        <f t="shared" si="31"/>
        <v>0</v>
      </c>
      <c r="N178" s="5"/>
      <c r="O178" s="7"/>
      <c r="P178" s="8"/>
      <c r="Q178" s="5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24">
        <v>46172.0</v>
      </c>
      <c r="B179" s="25" t="s">
        <v>28</v>
      </c>
      <c r="C179" s="25">
        <v>1000.0</v>
      </c>
      <c r="D179" s="26" t="str">
        <f t="shared" si="26"/>
        <v>#DIV/0!</v>
      </c>
      <c r="E179" s="5"/>
      <c r="F179" s="5">
        <f t="shared" si="30"/>
        <v>0</v>
      </c>
      <c r="G179" s="5"/>
      <c r="H179" s="5"/>
      <c r="I179" s="5">
        <f t="shared" si="32"/>
        <v>0</v>
      </c>
      <c r="J179" s="5"/>
      <c r="K179" s="5"/>
      <c r="L179" s="5">
        <f t="shared" si="28"/>
        <v>0</v>
      </c>
      <c r="M179" s="5">
        <f t="shared" si="31"/>
        <v>0</v>
      </c>
      <c r="N179" s="5"/>
      <c r="O179" s="7"/>
      <c r="P179" s="8"/>
      <c r="Q179" s="5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24">
        <v>46173.0</v>
      </c>
      <c r="B180" s="25" t="s">
        <v>29</v>
      </c>
      <c r="C180" s="25">
        <v>1000.0</v>
      </c>
      <c r="D180" s="26" t="str">
        <f t="shared" si="26"/>
        <v>#DIV/0!</v>
      </c>
      <c r="E180" s="25">
        <v>0.0</v>
      </c>
      <c r="F180" s="5">
        <f t="shared" si="30"/>
        <v>0</v>
      </c>
      <c r="G180" s="5">
        <v>0.0</v>
      </c>
      <c r="H180" s="5">
        <v>0.0</v>
      </c>
      <c r="I180" s="5">
        <f t="shared" si="32"/>
        <v>0</v>
      </c>
      <c r="J180" s="5">
        <v>0.0</v>
      </c>
      <c r="K180" s="5">
        <v>0.0</v>
      </c>
      <c r="L180" s="5">
        <f t="shared" si="28"/>
        <v>0</v>
      </c>
      <c r="M180" s="5">
        <f t="shared" si="31"/>
        <v>0</v>
      </c>
      <c r="N180" s="5">
        <v>0.0</v>
      </c>
      <c r="O180" s="7">
        <v>0.0</v>
      </c>
      <c r="P180" s="8"/>
      <c r="Q180" s="5">
        <v>0.0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24">
        <v>46174.0</v>
      </c>
      <c r="B181" s="25" t="s">
        <v>30</v>
      </c>
      <c r="C181" s="25">
        <v>1000.0</v>
      </c>
      <c r="D181" s="26" t="str">
        <f t="shared" si="26"/>
        <v>#DIV/0!</v>
      </c>
      <c r="E181" s="5"/>
      <c r="F181" s="5">
        <f t="shared" si="30"/>
        <v>0</v>
      </c>
      <c r="G181" s="5"/>
      <c r="H181" s="5"/>
      <c r="I181" s="5">
        <f t="shared" si="32"/>
        <v>0</v>
      </c>
      <c r="J181" s="5"/>
      <c r="K181" s="5"/>
      <c r="L181" s="5">
        <f t="shared" si="28"/>
        <v>0</v>
      </c>
      <c r="M181" s="5">
        <f t="shared" si="31"/>
        <v>0</v>
      </c>
      <c r="N181" s="5"/>
      <c r="O181" s="7"/>
      <c r="P181" s="8"/>
      <c r="Q181" s="5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24">
        <v>46175.0</v>
      </c>
      <c r="B182" s="25" t="s">
        <v>32</v>
      </c>
      <c r="C182" s="25">
        <v>1000.0</v>
      </c>
      <c r="D182" s="26" t="str">
        <f t="shared" si="26"/>
        <v>#DIV/0!</v>
      </c>
      <c r="E182" s="5"/>
      <c r="F182" s="5">
        <f t="shared" si="30"/>
        <v>0</v>
      </c>
      <c r="G182" s="5"/>
      <c r="H182" s="5"/>
      <c r="I182" s="5">
        <f t="shared" si="32"/>
        <v>0</v>
      </c>
      <c r="J182" s="5"/>
      <c r="K182" s="5"/>
      <c r="L182" s="5">
        <f t="shared" si="28"/>
        <v>0</v>
      </c>
      <c r="M182" s="5">
        <f t="shared" si="31"/>
        <v>0</v>
      </c>
      <c r="N182" s="5"/>
      <c r="O182" s="7"/>
      <c r="P182" s="8"/>
      <c r="Q182" s="5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24">
        <v>46176.0</v>
      </c>
      <c r="B183" s="25" t="s">
        <v>33</v>
      </c>
      <c r="C183" s="25">
        <v>1000.0</v>
      </c>
      <c r="D183" s="26" t="str">
        <f t="shared" si="26"/>
        <v>#DIV/0!</v>
      </c>
      <c r="E183" s="5"/>
      <c r="F183" s="5">
        <f t="shared" si="30"/>
        <v>0</v>
      </c>
      <c r="G183" s="5"/>
      <c r="H183" s="5"/>
      <c r="I183" s="5">
        <f t="shared" si="32"/>
        <v>0</v>
      </c>
      <c r="J183" s="5"/>
      <c r="K183" s="5"/>
      <c r="L183" s="5">
        <f t="shared" si="28"/>
        <v>0</v>
      </c>
      <c r="M183" s="5">
        <f t="shared" si="31"/>
        <v>0</v>
      </c>
      <c r="N183" s="5"/>
      <c r="O183" s="7"/>
      <c r="P183" s="8"/>
      <c r="Q183" s="5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24">
        <v>46177.0</v>
      </c>
      <c r="B184" s="25" t="s">
        <v>25</v>
      </c>
      <c r="C184" s="25">
        <v>1000.0</v>
      </c>
      <c r="D184" s="26" t="str">
        <f t="shared" si="26"/>
        <v>#DIV/0!</v>
      </c>
      <c r="E184" s="5"/>
      <c r="F184" s="5">
        <f t="shared" si="30"/>
        <v>0</v>
      </c>
      <c r="G184" s="5"/>
      <c r="H184" s="5"/>
      <c r="I184" s="5">
        <f t="shared" si="32"/>
        <v>0</v>
      </c>
      <c r="J184" s="5"/>
      <c r="K184" s="5"/>
      <c r="L184" s="5">
        <f t="shared" si="28"/>
        <v>0</v>
      </c>
      <c r="M184" s="5">
        <f t="shared" si="31"/>
        <v>0</v>
      </c>
      <c r="N184" s="5"/>
      <c r="O184" s="7"/>
      <c r="P184" s="8"/>
      <c r="Q184" s="5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24">
        <v>46178.0</v>
      </c>
      <c r="B185" s="25" t="s">
        <v>27</v>
      </c>
      <c r="C185" s="25">
        <v>1000.0</v>
      </c>
      <c r="D185" s="26" t="str">
        <f t="shared" si="26"/>
        <v>#DIV/0!</v>
      </c>
      <c r="E185" s="5"/>
      <c r="F185" s="5">
        <f t="shared" si="30"/>
        <v>0</v>
      </c>
      <c r="G185" s="5"/>
      <c r="H185" s="5"/>
      <c r="I185" s="5">
        <f t="shared" si="32"/>
        <v>0</v>
      </c>
      <c r="J185" s="5"/>
      <c r="K185" s="5"/>
      <c r="L185" s="5">
        <f t="shared" si="28"/>
        <v>0</v>
      </c>
      <c r="M185" s="5">
        <f t="shared" si="31"/>
        <v>0</v>
      </c>
      <c r="N185" s="5"/>
      <c r="O185" s="7"/>
      <c r="P185" s="8"/>
      <c r="Q185" s="5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24">
        <v>46179.0</v>
      </c>
      <c r="B186" s="25" t="s">
        <v>28</v>
      </c>
      <c r="C186" s="25">
        <v>1000.0</v>
      </c>
      <c r="D186" s="26" t="str">
        <f t="shared" si="26"/>
        <v>#DIV/0!</v>
      </c>
      <c r="E186" s="5"/>
      <c r="F186" s="5">
        <f t="shared" si="30"/>
        <v>0</v>
      </c>
      <c r="G186" s="5"/>
      <c r="H186" s="5"/>
      <c r="I186" s="5">
        <f t="shared" si="32"/>
        <v>0</v>
      </c>
      <c r="J186" s="5"/>
      <c r="K186" s="5"/>
      <c r="L186" s="5">
        <f t="shared" si="28"/>
        <v>0</v>
      </c>
      <c r="M186" s="5">
        <f t="shared" si="31"/>
        <v>0</v>
      </c>
      <c r="N186" s="5"/>
      <c r="O186" s="7"/>
      <c r="P186" s="8"/>
      <c r="Q186" s="5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24">
        <v>46180.0</v>
      </c>
      <c r="B187" s="25" t="s">
        <v>29</v>
      </c>
      <c r="C187" s="25">
        <v>1000.0</v>
      </c>
      <c r="D187" s="26" t="str">
        <f t="shared" si="26"/>
        <v>#DIV/0!</v>
      </c>
      <c r="E187" s="25">
        <v>0.0</v>
      </c>
      <c r="F187" s="5">
        <f t="shared" si="30"/>
        <v>0</v>
      </c>
      <c r="G187" s="5">
        <v>0.0</v>
      </c>
      <c r="H187" s="5">
        <v>0.0</v>
      </c>
      <c r="I187" s="5">
        <f t="shared" si="32"/>
        <v>0</v>
      </c>
      <c r="J187" s="5">
        <v>0.0</v>
      </c>
      <c r="K187" s="5">
        <v>0.0</v>
      </c>
      <c r="L187" s="5">
        <f t="shared" si="28"/>
        <v>0</v>
      </c>
      <c r="M187" s="5">
        <f t="shared" si="31"/>
        <v>0</v>
      </c>
      <c r="N187" s="5">
        <v>0.0</v>
      </c>
      <c r="O187" s="7">
        <v>0.0</v>
      </c>
      <c r="P187" s="8"/>
      <c r="Q187" s="5">
        <v>0.0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24">
        <v>46181.0</v>
      </c>
      <c r="B188" s="25" t="s">
        <v>30</v>
      </c>
      <c r="C188" s="25">
        <v>1000.0</v>
      </c>
      <c r="D188" s="26" t="str">
        <f t="shared" si="26"/>
        <v>#DIV/0!</v>
      </c>
      <c r="E188" s="5"/>
      <c r="F188" s="5">
        <f t="shared" si="30"/>
        <v>0</v>
      </c>
      <c r="G188" s="5"/>
      <c r="H188" s="5"/>
      <c r="I188" s="5">
        <f t="shared" si="32"/>
        <v>0</v>
      </c>
      <c r="J188" s="5"/>
      <c r="K188" s="5"/>
      <c r="L188" s="5">
        <f t="shared" si="28"/>
        <v>0</v>
      </c>
      <c r="M188" s="5">
        <f t="shared" si="31"/>
        <v>0</v>
      </c>
      <c r="N188" s="5"/>
      <c r="O188" s="7"/>
      <c r="P188" s="8"/>
      <c r="Q188" s="5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24">
        <v>46182.0</v>
      </c>
      <c r="B189" s="25" t="s">
        <v>32</v>
      </c>
      <c r="C189" s="25">
        <v>1000.0</v>
      </c>
      <c r="D189" s="26" t="str">
        <f t="shared" si="26"/>
        <v>#DIV/0!</v>
      </c>
      <c r="E189" s="5"/>
      <c r="F189" s="5">
        <f t="shared" si="30"/>
        <v>0</v>
      </c>
      <c r="G189" s="5"/>
      <c r="H189" s="5"/>
      <c r="I189" s="5">
        <f t="shared" si="32"/>
        <v>0</v>
      </c>
      <c r="J189" s="5"/>
      <c r="K189" s="5"/>
      <c r="L189" s="5">
        <f t="shared" si="28"/>
        <v>0</v>
      </c>
      <c r="M189" s="5">
        <f t="shared" si="31"/>
        <v>0</v>
      </c>
      <c r="N189" s="5"/>
      <c r="O189" s="7"/>
      <c r="P189" s="8"/>
      <c r="Q189" s="5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24">
        <v>46183.0</v>
      </c>
      <c r="B190" s="25" t="s">
        <v>33</v>
      </c>
      <c r="C190" s="25">
        <v>1000.0</v>
      </c>
      <c r="D190" s="26" t="str">
        <f t="shared" si="26"/>
        <v>#DIV/0!</v>
      </c>
      <c r="E190" s="5"/>
      <c r="F190" s="5">
        <f t="shared" si="30"/>
        <v>0</v>
      </c>
      <c r="G190" s="5"/>
      <c r="H190" s="5"/>
      <c r="I190" s="5">
        <f t="shared" si="32"/>
        <v>0</v>
      </c>
      <c r="J190" s="5"/>
      <c r="K190" s="5"/>
      <c r="L190" s="5">
        <f t="shared" si="28"/>
        <v>0</v>
      </c>
      <c r="M190" s="5">
        <f t="shared" si="31"/>
        <v>0</v>
      </c>
      <c r="N190" s="5"/>
      <c r="O190" s="7"/>
      <c r="P190" s="8"/>
      <c r="Q190" s="5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24">
        <v>46184.0</v>
      </c>
      <c r="B191" s="25" t="s">
        <v>25</v>
      </c>
      <c r="C191" s="25">
        <v>1000.0</v>
      </c>
      <c r="D191" s="26" t="str">
        <f t="shared" si="26"/>
        <v>#DIV/0!</v>
      </c>
      <c r="E191" s="5"/>
      <c r="F191" s="5">
        <f t="shared" si="30"/>
        <v>0</v>
      </c>
      <c r="G191" s="5"/>
      <c r="H191" s="5"/>
      <c r="I191" s="5">
        <f t="shared" si="32"/>
        <v>0</v>
      </c>
      <c r="J191" s="5"/>
      <c r="K191" s="5"/>
      <c r="L191" s="5">
        <f t="shared" si="28"/>
        <v>0</v>
      </c>
      <c r="M191" s="5">
        <f t="shared" si="31"/>
        <v>0</v>
      </c>
      <c r="N191" s="5"/>
      <c r="O191" s="7"/>
      <c r="P191" s="8"/>
      <c r="Q191" s="5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24">
        <v>46185.0</v>
      </c>
      <c r="B192" s="25" t="s">
        <v>27</v>
      </c>
      <c r="C192" s="25">
        <v>1000.0</v>
      </c>
      <c r="D192" s="26" t="str">
        <f t="shared" si="26"/>
        <v>#DIV/0!</v>
      </c>
      <c r="E192" s="5"/>
      <c r="F192" s="5">
        <f t="shared" si="30"/>
        <v>0</v>
      </c>
      <c r="G192" s="5"/>
      <c r="H192" s="5"/>
      <c r="I192" s="5">
        <f t="shared" si="32"/>
        <v>0</v>
      </c>
      <c r="J192" s="5"/>
      <c r="K192" s="5"/>
      <c r="L192" s="5">
        <f t="shared" si="28"/>
        <v>0</v>
      </c>
      <c r="M192" s="5">
        <f t="shared" si="31"/>
        <v>0</v>
      </c>
      <c r="N192" s="5"/>
      <c r="O192" s="7"/>
      <c r="P192" s="8"/>
      <c r="Q192" s="5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24">
        <v>46186.0</v>
      </c>
      <c r="B193" s="25" t="s">
        <v>28</v>
      </c>
      <c r="C193" s="25">
        <v>1000.0</v>
      </c>
      <c r="D193" s="26" t="str">
        <f t="shared" si="26"/>
        <v>#DIV/0!</v>
      </c>
      <c r="E193" s="5"/>
      <c r="F193" s="5">
        <f t="shared" si="30"/>
        <v>0</v>
      </c>
      <c r="G193" s="5"/>
      <c r="H193" s="5"/>
      <c r="I193" s="5">
        <f t="shared" si="32"/>
        <v>0</v>
      </c>
      <c r="J193" s="5"/>
      <c r="K193" s="5"/>
      <c r="L193" s="5">
        <f t="shared" si="28"/>
        <v>0</v>
      </c>
      <c r="M193" s="5">
        <f t="shared" si="31"/>
        <v>0</v>
      </c>
      <c r="N193" s="5"/>
      <c r="O193" s="7"/>
      <c r="P193" s="8"/>
      <c r="Q193" s="5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24">
        <v>46187.0</v>
      </c>
      <c r="B194" s="25" t="s">
        <v>29</v>
      </c>
      <c r="C194" s="25">
        <v>1000.0</v>
      </c>
      <c r="D194" s="26" t="str">
        <f t="shared" si="26"/>
        <v>#DIV/0!</v>
      </c>
      <c r="E194" s="25">
        <v>0.0</v>
      </c>
      <c r="F194" s="5">
        <f t="shared" si="30"/>
        <v>0</v>
      </c>
      <c r="G194" s="5">
        <v>0.0</v>
      </c>
      <c r="H194" s="5">
        <v>0.0</v>
      </c>
      <c r="I194" s="5">
        <f t="shared" si="32"/>
        <v>0</v>
      </c>
      <c r="J194" s="5">
        <v>0.0</v>
      </c>
      <c r="K194" s="5">
        <v>0.0</v>
      </c>
      <c r="L194" s="5">
        <f t="shared" si="28"/>
        <v>0</v>
      </c>
      <c r="M194" s="5">
        <f t="shared" si="31"/>
        <v>0</v>
      </c>
      <c r="N194" s="5">
        <v>0.0</v>
      </c>
      <c r="O194" s="7">
        <v>0.0</v>
      </c>
      <c r="P194" s="8"/>
      <c r="Q194" s="5">
        <v>0.0</v>
      </c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24">
        <v>46188.0</v>
      </c>
      <c r="B195" s="25" t="s">
        <v>30</v>
      </c>
      <c r="C195" s="25">
        <v>1000.0</v>
      </c>
      <c r="D195" s="26" t="str">
        <f t="shared" si="26"/>
        <v>#DIV/0!</v>
      </c>
      <c r="E195" s="5"/>
      <c r="F195" s="5">
        <f t="shared" si="30"/>
        <v>0</v>
      </c>
      <c r="G195" s="5"/>
      <c r="H195" s="5"/>
      <c r="I195" s="5">
        <f t="shared" si="32"/>
        <v>0</v>
      </c>
      <c r="J195" s="5"/>
      <c r="K195" s="5"/>
      <c r="L195" s="5">
        <f t="shared" si="28"/>
        <v>0</v>
      </c>
      <c r="M195" s="5">
        <f t="shared" si="31"/>
        <v>0</v>
      </c>
      <c r="N195" s="5"/>
      <c r="O195" s="7"/>
      <c r="P195" s="8"/>
      <c r="Q195" s="5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24">
        <v>46189.0</v>
      </c>
      <c r="B196" s="25" t="s">
        <v>32</v>
      </c>
      <c r="C196" s="25">
        <v>1000.0</v>
      </c>
      <c r="D196" s="26" t="str">
        <f t="shared" si="26"/>
        <v>#DIV/0!</v>
      </c>
      <c r="E196" s="5"/>
      <c r="F196" s="5">
        <f t="shared" si="30"/>
        <v>0</v>
      </c>
      <c r="G196" s="5"/>
      <c r="H196" s="5"/>
      <c r="I196" s="5">
        <f t="shared" si="32"/>
        <v>0</v>
      </c>
      <c r="J196" s="5"/>
      <c r="K196" s="5"/>
      <c r="L196" s="5">
        <f t="shared" si="28"/>
        <v>0</v>
      </c>
      <c r="M196" s="5">
        <f t="shared" si="31"/>
        <v>0</v>
      </c>
      <c r="N196" s="5"/>
      <c r="O196" s="7"/>
      <c r="P196" s="8"/>
      <c r="Q196" s="5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24">
        <v>46190.0</v>
      </c>
      <c r="B197" s="25" t="s">
        <v>33</v>
      </c>
      <c r="C197" s="25">
        <v>1000.0</v>
      </c>
      <c r="D197" s="26" t="str">
        <f t="shared" si="26"/>
        <v>#DIV/0!</v>
      </c>
      <c r="E197" s="5"/>
      <c r="F197" s="5">
        <f t="shared" si="30"/>
        <v>0</v>
      </c>
      <c r="G197" s="5"/>
      <c r="H197" s="5"/>
      <c r="I197" s="5">
        <f t="shared" si="32"/>
        <v>0</v>
      </c>
      <c r="J197" s="5"/>
      <c r="K197" s="5"/>
      <c r="L197" s="5">
        <f t="shared" si="28"/>
        <v>0</v>
      </c>
      <c r="M197" s="5">
        <f t="shared" si="31"/>
        <v>0</v>
      </c>
      <c r="N197" s="5"/>
      <c r="O197" s="7"/>
      <c r="P197" s="8"/>
      <c r="Q197" s="5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24">
        <v>46191.0</v>
      </c>
      <c r="B198" s="25" t="s">
        <v>25</v>
      </c>
      <c r="C198" s="25">
        <v>1000.0</v>
      </c>
      <c r="D198" s="26" t="str">
        <f t="shared" si="26"/>
        <v>#DIV/0!</v>
      </c>
      <c r="E198" s="5"/>
      <c r="F198" s="5">
        <f t="shared" si="30"/>
        <v>0</v>
      </c>
      <c r="G198" s="5"/>
      <c r="H198" s="5"/>
      <c r="I198" s="5">
        <f t="shared" si="32"/>
        <v>0</v>
      </c>
      <c r="J198" s="5"/>
      <c r="K198" s="5"/>
      <c r="L198" s="5">
        <f t="shared" si="28"/>
        <v>0</v>
      </c>
      <c r="M198" s="5">
        <f t="shared" si="31"/>
        <v>0</v>
      </c>
      <c r="N198" s="5"/>
      <c r="O198" s="7"/>
      <c r="P198" s="8"/>
      <c r="Q198" s="5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24">
        <v>46192.0</v>
      </c>
      <c r="B199" s="25" t="s">
        <v>27</v>
      </c>
      <c r="C199" s="25">
        <v>1000.0</v>
      </c>
      <c r="D199" s="26" t="str">
        <f t="shared" si="26"/>
        <v>#DIV/0!</v>
      </c>
      <c r="E199" s="5"/>
      <c r="F199" s="5">
        <f t="shared" si="30"/>
        <v>0</v>
      </c>
      <c r="G199" s="5"/>
      <c r="H199" s="5"/>
      <c r="I199" s="5">
        <f t="shared" si="32"/>
        <v>0</v>
      </c>
      <c r="J199" s="5"/>
      <c r="K199" s="5"/>
      <c r="L199" s="5">
        <f t="shared" si="28"/>
        <v>0</v>
      </c>
      <c r="M199" s="5">
        <f t="shared" si="31"/>
        <v>0</v>
      </c>
      <c r="N199" s="5"/>
      <c r="O199" s="7"/>
      <c r="P199" s="8"/>
      <c r="Q199" s="5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24">
        <v>46193.0</v>
      </c>
      <c r="B200" s="25" t="s">
        <v>28</v>
      </c>
      <c r="C200" s="25">
        <v>1000.0</v>
      </c>
      <c r="D200" s="26" t="str">
        <f t="shared" si="26"/>
        <v>#DIV/0!</v>
      </c>
      <c r="E200" s="5"/>
      <c r="F200" s="5">
        <f t="shared" si="30"/>
        <v>0</v>
      </c>
      <c r="G200" s="5"/>
      <c r="H200" s="5"/>
      <c r="I200" s="5">
        <f t="shared" si="32"/>
        <v>0</v>
      </c>
      <c r="J200" s="5"/>
      <c r="K200" s="5"/>
      <c r="L200" s="5">
        <f t="shared" si="28"/>
        <v>0</v>
      </c>
      <c r="M200" s="5">
        <f t="shared" si="31"/>
        <v>0</v>
      </c>
      <c r="N200" s="5"/>
      <c r="O200" s="7"/>
      <c r="P200" s="8"/>
      <c r="Q200" s="5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24">
        <v>46194.0</v>
      </c>
      <c r="B201" s="25" t="s">
        <v>29</v>
      </c>
      <c r="C201" s="25">
        <v>1000.0</v>
      </c>
      <c r="D201" s="26" t="str">
        <f t="shared" si="26"/>
        <v>#DIV/0!</v>
      </c>
      <c r="E201" s="25">
        <v>0.0</v>
      </c>
      <c r="F201" s="5">
        <f t="shared" si="30"/>
        <v>0</v>
      </c>
      <c r="G201" s="5">
        <v>0.0</v>
      </c>
      <c r="H201" s="5">
        <v>0.0</v>
      </c>
      <c r="I201" s="5">
        <f t="shared" si="32"/>
        <v>0</v>
      </c>
      <c r="J201" s="5">
        <v>0.0</v>
      </c>
      <c r="K201" s="5">
        <v>0.0</v>
      </c>
      <c r="L201" s="5">
        <f t="shared" si="28"/>
        <v>0</v>
      </c>
      <c r="M201" s="5">
        <f t="shared" si="31"/>
        <v>0</v>
      </c>
      <c r="N201" s="5">
        <v>0.0</v>
      </c>
      <c r="O201" s="7">
        <v>0.0</v>
      </c>
      <c r="P201" s="8"/>
      <c r="Q201" s="5">
        <v>0.0</v>
      </c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24">
        <v>46195.0</v>
      </c>
      <c r="B202" s="25" t="s">
        <v>30</v>
      </c>
      <c r="C202" s="25">
        <v>1000.0</v>
      </c>
      <c r="D202" s="26" t="str">
        <f t="shared" si="26"/>
        <v>#DIV/0!</v>
      </c>
      <c r="E202" s="5"/>
      <c r="F202" s="5">
        <f t="shared" si="30"/>
        <v>0</v>
      </c>
      <c r="G202" s="5"/>
      <c r="H202" s="5"/>
      <c r="I202" s="5">
        <f t="shared" si="32"/>
        <v>0</v>
      </c>
      <c r="J202" s="5"/>
      <c r="K202" s="5"/>
      <c r="L202" s="5">
        <f t="shared" si="28"/>
        <v>0</v>
      </c>
      <c r="M202" s="5">
        <f t="shared" si="31"/>
        <v>0</v>
      </c>
      <c r="N202" s="5"/>
      <c r="O202" s="7"/>
      <c r="P202" s="8"/>
      <c r="Q202" s="5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24">
        <v>46196.0</v>
      </c>
      <c r="B203" s="25" t="s">
        <v>32</v>
      </c>
      <c r="C203" s="25">
        <v>1000.0</v>
      </c>
      <c r="D203" s="26" t="str">
        <f t="shared" si="26"/>
        <v>#DIV/0!</v>
      </c>
      <c r="E203" s="5"/>
      <c r="F203" s="5">
        <f t="shared" si="30"/>
        <v>0</v>
      </c>
      <c r="G203" s="5"/>
      <c r="H203" s="5"/>
      <c r="I203" s="5">
        <f t="shared" si="32"/>
        <v>0</v>
      </c>
      <c r="J203" s="5"/>
      <c r="K203" s="5"/>
      <c r="L203" s="5">
        <f t="shared" si="28"/>
        <v>0</v>
      </c>
      <c r="M203" s="5">
        <f t="shared" si="31"/>
        <v>0</v>
      </c>
      <c r="N203" s="5"/>
      <c r="O203" s="7"/>
      <c r="P203" s="8"/>
      <c r="Q203" s="5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24">
        <v>46197.0</v>
      </c>
      <c r="B204" s="25" t="s">
        <v>33</v>
      </c>
      <c r="C204" s="25">
        <v>1000.0</v>
      </c>
      <c r="D204" s="26" t="str">
        <f t="shared" si="26"/>
        <v>#DIV/0!</v>
      </c>
      <c r="E204" s="5"/>
      <c r="F204" s="5">
        <f t="shared" si="30"/>
        <v>0</v>
      </c>
      <c r="G204" s="5"/>
      <c r="H204" s="5"/>
      <c r="I204" s="5">
        <f t="shared" si="32"/>
        <v>0</v>
      </c>
      <c r="J204" s="5"/>
      <c r="K204" s="5"/>
      <c r="L204" s="5">
        <f t="shared" si="28"/>
        <v>0</v>
      </c>
      <c r="M204" s="5">
        <f t="shared" si="31"/>
        <v>0</v>
      </c>
      <c r="N204" s="5"/>
      <c r="O204" s="7"/>
      <c r="P204" s="8"/>
      <c r="Q204" s="5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24">
        <v>46198.0</v>
      </c>
      <c r="B205" s="25" t="s">
        <v>25</v>
      </c>
      <c r="C205" s="25">
        <v>1000.0</v>
      </c>
      <c r="D205" s="26" t="str">
        <f t="shared" si="26"/>
        <v>#DIV/0!</v>
      </c>
      <c r="E205" s="5"/>
      <c r="F205" s="5">
        <f t="shared" si="30"/>
        <v>0</v>
      </c>
      <c r="G205" s="5"/>
      <c r="H205" s="5"/>
      <c r="I205" s="5">
        <f t="shared" si="32"/>
        <v>0</v>
      </c>
      <c r="J205" s="5"/>
      <c r="K205" s="5"/>
      <c r="L205" s="5">
        <f t="shared" si="28"/>
        <v>0</v>
      </c>
      <c r="M205" s="5">
        <f t="shared" si="31"/>
        <v>0</v>
      </c>
      <c r="N205" s="5"/>
      <c r="O205" s="7"/>
      <c r="P205" s="8"/>
      <c r="Q205" s="5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24">
        <v>46199.0</v>
      </c>
      <c r="B206" s="25" t="s">
        <v>27</v>
      </c>
      <c r="C206" s="25">
        <v>1000.0</v>
      </c>
      <c r="D206" s="26" t="str">
        <f t="shared" si="26"/>
        <v>#DIV/0!</v>
      </c>
      <c r="E206" s="5"/>
      <c r="F206" s="5">
        <f t="shared" si="30"/>
        <v>0</v>
      </c>
      <c r="G206" s="5"/>
      <c r="H206" s="5"/>
      <c r="I206" s="5">
        <f t="shared" si="32"/>
        <v>0</v>
      </c>
      <c r="J206" s="5"/>
      <c r="K206" s="5"/>
      <c r="L206" s="5">
        <f t="shared" si="28"/>
        <v>0</v>
      </c>
      <c r="M206" s="5">
        <f t="shared" si="31"/>
        <v>0</v>
      </c>
      <c r="N206" s="5"/>
      <c r="O206" s="7"/>
      <c r="P206" s="8"/>
      <c r="Q206" s="5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24">
        <v>46200.0</v>
      </c>
      <c r="B207" s="25" t="s">
        <v>28</v>
      </c>
      <c r="C207" s="25">
        <v>1000.0</v>
      </c>
      <c r="D207" s="26" t="str">
        <f t="shared" si="26"/>
        <v>#DIV/0!</v>
      </c>
      <c r="E207" s="5"/>
      <c r="F207" s="5">
        <f t="shared" si="30"/>
        <v>0</v>
      </c>
      <c r="G207" s="5"/>
      <c r="H207" s="5"/>
      <c r="I207" s="5">
        <f t="shared" si="32"/>
        <v>0</v>
      </c>
      <c r="J207" s="5"/>
      <c r="K207" s="5"/>
      <c r="L207" s="5">
        <f t="shared" si="28"/>
        <v>0</v>
      </c>
      <c r="M207" s="5">
        <f t="shared" si="31"/>
        <v>0</v>
      </c>
      <c r="N207" s="5"/>
      <c r="O207" s="7"/>
      <c r="P207" s="8"/>
      <c r="Q207" s="5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24">
        <v>46201.0</v>
      </c>
      <c r="B208" s="25" t="s">
        <v>29</v>
      </c>
      <c r="C208" s="25">
        <v>1000.0</v>
      </c>
      <c r="D208" s="26" t="str">
        <f t="shared" si="26"/>
        <v>#DIV/0!</v>
      </c>
      <c r="E208" s="25">
        <v>0.0</v>
      </c>
      <c r="F208" s="5">
        <f t="shared" si="30"/>
        <v>0</v>
      </c>
      <c r="G208" s="5">
        <v>0.0</v>
      </c>
      <c r="H208" s="5">
        <v>0.0</v>
      </c>
      <c r="I208" s="5">
        <f t="shared" si="32"/>
        <v>0</v>
      </c>
      <c r="J208" s="5">
        <v>0.0</v>
      </c>
      <c r="K208" s="5">
        <v>0.0</v>
      </c>
      <c r="L208" s="5">
        <f t="shared" si="28"/>
        <v>0</v>
      </c>
      <c r="M208" s="5">
        <f t="shared" si="31"/>
        <v>0</v>
      </c>
      <c r="N208" s="5">
        <v>0.0</v>
      </c>
      <c r="O208" s="7">
        <v>0.0</v>
      </c>
      <c r="P208" s="8"/>
      <c r="Q208" s="5">
        <v>0.0</v>
      </c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24">
        <v>46202.0</v>
      </c>
      <c r="B209" s="25" t="s">
        <v>30</v>
      </c>
      <c r="C209" s="25">
        <v>1000.0</v>
      </c>
      <c r="D209" s="26" t="str">
        <f t="shared" si="26"/>
        <v>#DIV/0!</v>
      </c>
      <c r="E209" s="5"/>
      <c r="F209" s="5">
        <f t="shared" si="30"/>
        <v>0</v>
      </c>
      <c r="G209" s="5"/>
      <c r="H209" s="5"/>
      <c r="I209" s="5">
        <f t="shared" si="32"/>
        <v>0</v>
      </c>
      <c r="J209" s="5"/>
      <c r="K209" s="5"/>
      <c r="L209" s="5">
        <f t="shared" si="28"/>
        <v>0</v>
      </c>
      <c r="M209" s="5">
        <f t="shared" si="31"/>
        <v>0</v>
      </c>
      <c r="N209" s="5"/>
      <c r="O209" s="7"/>
      <c r="P209" s="8"/>
      <c r="Q209" s="5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24">
        <v>46203.0</v>
      </c>
      <c r="B210" s="25" t="s">
        <v>32</v>
      </c>
      <c r="C210" s="25">
        <v>1000.0</v>
      </c>
      <c r="D210" s="26" t="str">
        <f t="shared" si="26"/>
        <v>#DIV/0!</v>
      </c>
      <c r="E210" s="5"/>
      <c r="F210" s="5">
        <f t="shared" si="30"/>
        <v>0</v>
      </c>
      <c r="G210" s="5"/>
      <c r="H210" s="5"/>
      <c r="I210" s="5">
        <f t="shared" si="32"/>
        <v>0</v>
      </c>
      <c r="J210" s="5"/>
      <c r="K210" s="5"/>
      <c r="L210" s="5">
        <f t="shared" si="28"/>
        <v>0</v>
      </c>
      <c r="M210" s="5">
        <f t="shared" si="31"/>
        <v>0</v>
      </c>
      <c r="N210" s="5"/>
      <c r="O210" s="7"/>
      <c r="P210" s="8"/>
      <c r="Q210" s="5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24">
        <v>46204.0</v>
      </c>
      <c r="B211" s="25" t="s">
        <v>33</v>
      </c>
      <c r="C211" s="25">
        <v>1000.0</v>
      </c>
      <c r="D211" s="26" t="str">
        <f t="shared" si="26"/>
        <v>#DIV/0!</v>
      </c>
      <c r="E211" s="5"/>
      <c r="F211" s="5">
        <f t="shared" si="30"/>
        <v>0</v>
      </c>
      <c r="G211" s="5"/>
      <c r="H211" s="5"/>
      <c r="I211" s="5">
        <f t="shared" si="32"/>
        <v>0</v>
      </c>
      <c r="J211" s="5"/>
      <c r="K211" s="5"/>
      <c r="L211" s="5">
        <f t="shared" si="28"/>
        <v>0</v>
      </c>
      <c r="M211" s="5">
        <f t="shared" si="31"/>
        <v>0</v>
      </c>
      <c r="N211" s="5"/>
      <c r="O211" s="7"/>
      <c r="P211" s="8"/>
      <c r="Q211" s="5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24">
        <v>46205.0</v>
      </c>
      <c r="B212" s="25" t="s">
        <v>25</v>
      </c>
      <c r="C212" s="25">
        <v>1000.0</v>
      </c>
      <c r="D212" s="26" t="str">
        <f t="shared" si="26"/>
        <v>#DIV/0!</v>
      </c>
      <c r="E212" s="5"/>
      <c r="F212" s="5">
        <f t="shared" si="30"/>
        <v>0</v>
      </c>
      <c r="G212" s="5"/>
      <c r="H212" s="5"/>
      <c r="I212" s="5">
        <f t="shared" si="32"/>
        <v>0</v>
      </c>
      <c r="J212" s="5"/>
      <c r="K212" s="5"/>
      <c r="L212" s="5">
        <f t="shared" si="28"/>
        <v>0</v>
      </c>
      <c r="M212" s="5">
        <f t="shared" si="31"/>
        <v>0</v>
      </c>
      <c r="N212" s="5"/>
      <c r="O212" s="7"/>
      <c r="P212" s="8"/>
      <c r="Q212" s="5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24">
        <v>46206.0</v>
      </c>
      <c r="B213" s="25" t="s">
        <v>27</v>
      </c>
      <c r="C213" s="25">
        <v>1000.0</v>
      </c>
      <c r="D213" s="26" t="str">
        <f t="shared" si="26"/>
        <v>#DIV/0!</v>
      </c>
      <c r="E213" s="5"/>
      <c r="F213" s="5">
        <f t="shared" si="30"/>
        <v>0</v>
      </c>
      <c r="G213" s="5"/>
      <c r="H213" s="5"/>
      <c r="I213" s="5">
        <f t="shared" si="32"/>
        <v>0</v>
      </c>
      <c r="J213" s="5"/>
      <c r="K213" s="5"/>
      <c r="L213" s="5">
        <f t="shared" si="28"/>
        <v>0</v>
      </c>
      <c r="M213" s="5">
        <f t="shared" si="31"/>
        <v>0</v>
      </c>
      <c r="N213" s="5"/>
      <c r="O213" s="7"/>
      <c r="P213" s="8"/>
      <c r="Q213" s="5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24">
        <v>46207.0</v>
      </c>
      <c r="B214" s="25" t="s">
        <v>28</v>
      </c>
      <c r="C214" s="25">
        <v>1000.0</v>
      </c>
      <c r="D214" s="26" t="str">
        <f t="shared" si="26"/>
        <v>#DIV/0!</v>
      </c>
      <c r="E214" s="5"/>
      <c r="F214" s="5">
        <f t="shared" si="30"/>
        <v>0</v>
      </c>
      <c r="G214" s="5"/>
      <c r="H214" s="5"/>
      <c r="I214" s="5">
        <f t="shared" si="32"/>
        <v>0</v>
      </c>
      <c r="J214" s="5"/>
      <c r="K214" s="5"/>
      <c r="L214" s="5">
        <f t="shared" si="28"/>
        <v>0</v>
      </c>
      <c r="M214" s="5">
        <f t="shared" si="31"/>
        <v>0</v>
      </c>
      <c r="N214" s="5"/>
      <c r="O214" s="7"/>
      <c r="P214" s="8"/>
      <c r="Q214" s="5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24">
        <v>46208.0</v>
      </c>
      <c r="B215" s="25" t="s">
        <v>29</v>
      </c>
      <c r="C215" s="25">
        <v>1000.0</v>
      </c>
      <c r="D215" s="26" t="str">
        <f t="shared" si="26"/>
        <v>#DIV/0!</v>
      </c>
      <c r="E215" s="25">
        <v>0.0</v>
      </c>
      <c r="F215" s="5">
        <f t="shared" si="30"/>
        <v>0</v>
      </c>
      <c r="G215" s="5">
        <v>0.0</v>
      </c>
      <c r="H215" s="5">
        <v>0.0</v>
      </c>
      <c r="I215" s="5">
        <f t="shared" si="32"/>
        <v>0</v>
      </c>
      <c r="J215" s="5">
        <v>0.0</v>
      </c>
      <c r="K215" s="5">
        <v>0.0</v>
      </c>
      <c r="L215" s="5">
        <f t="shared" si="28"/>
        <v>0</v>
      </c>
      <c r="M215" s="5">
        <f t="shared" si="31"/>
        <v>0</v>
      </c>
      <c r="N215" s="5">
        <v>0.0</v>
      </c>
      <c r="O215" s="7">
        <v>0.0</v>
      </c>
      <c r="P215" s="8"/>
      <c r="Q215" s="5">
        <v>0.0</v>
      </c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24">
        <v>46209.0</v>
      </c>
      <c r="B216" s="25" t="s">
        <v>30</v>
      </c>
      <c r="C216" s="25">
        <v>1000.0</v>
      </c>
      <c r="D216" s="26" t="str">
        <f t="shared" si="26"/>
        <v>#DIV/0!</v>
      </c>
      <c r="E216" s="5"/>
      <c r="F216" s="5">
        <f t="shared" si="30"/>
        <v>0</v>
      </c>
      <c r="G216" s="5"/>
      <c r="H216" s="5"/>
      <c r="I216" s="5">
        <f t="shared" si="32"/>
        <v>0</v>
      </c>
      <c r="J216" s="5"/>
      <c r="K216" s="5"/>
      <c r="L216" s="5">
        <f t="shared" si="28"/>
        <v>0</v>
      </c>
      <c r="M216" s="5">
        <f t="shared" si="31"/>
        <v>0</v>
      </c>
      <c r="N216" s="5"/>
      <c r="O216" s="7"/>
      <c r="P216" s="8"/>
      <c r="Q216" s="5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24">
        <v>46210.0</v>
      </c>
      <c r="B217" s="25" t="s">
        <v>32</v>
      </c>
      <c r="C217" s="25">
        <v>1000.0</v>
      </c>
      <c r="D217" s="26" t="str">
        <f t="shared" si="26"/>
        <v>#DIV/0!</v>
      </c>
      <c r="E217" s="5"/>
      <c r="F217" s="5">
        <f t="shared" si="30"/>
        <v>0</v>
      </c>
      <c r="G217" s="5"/>
      <c r="H217" s="5"/>
      <c r="I217" s="5">
        <f t="shared" si="32"/>
        <v>0</v>
      </c>
      <c r="J217" s="5"/>
      <c r="K217" s="5"/>
      <c r="L217" s="5">
        <f t="shared" si="28"/>
        <v>0</v>
      </c>
      <c r="M217" s="5">
        <f t="shared" si="31"/>
        <v>0</v>
      </c>
      <c r="N217" s="5"/>
      <c r="O217" s="7"/>
      <c r="P217" s="8"/>
      <c r="Q217" s="5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24">
        <v>46211.0</v>
      </c>
      <c r="B218" s="25" t="s">
        <v>33</v>
      </c>
      <c r="C218" s="25">
        <v>1000.0</v>
      </c>
      <c r="D218" s="26" t="str">
        <f t="shared" si="26"/>
        <v>#DIV/0!</v>
      </c>
      <c r="E218" s="5"/>
      <c r="F218" s="5">
        <f t="shared" si="30"/>
        <v>0</v>
      </c>
      <c r="G218" s="5"/>
      <c r="H218" s="5"/>
      <c r="I218" s="5">
        <f t="shared" si="32"/>
        <v>0</v>
      </c>
      <c r="J218" s="5"/>
      <c r="K218" s="5"/>
      <c r="L218" s="5">
        <f t="shared" si="28"/>
        <v>0</v>
      </c>
      <c r="M218" s="5">
        <f t="shared" si="31"/>
        <v>0</v>
      </c>
      <c r="N218" s="5"/>
      <c r="O218" s="7"/>
      <c r="P218" s="8"/>
      <c r="Q218" s="5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24">
        <v>46212.0</v>
      </c>
      <c r="B219" s="25" t="s">
        <v>25</v>
      </c>
      <c r="C219" s="25">
        <v>1000.0</v>
      </c>
      <c r="D219" s="26" t="str">
        <f t="shared" si="26"/>
        <v>#DIV/0!</v>
      </c>
      <c r="E219" s="5"/>
      <c r="F219" s="5">
        <f t="shared" si="30"/>
        <v>0</v>
      </c>
      <c r="G219" s="5"/>
      <c r="H219" s="5"/>
      <c r="I219" s="5">
        <f t="shared" si="32"/>
        <v>0</v>
      </c>
      <c r="J219" s="5"/>
      <c r="K219" s="5"/>
      <c r="L219" s="5">
        <f t="shared" si="28"/>
        <v>0</v>
      </c>
      <c r="M219" s="5">
        <f t="shared" si="31"/>
        <v>0</v>
      </c>
      <c r="N219" s="5"/>
      <c r="O219" s="7"/>
      <c r="P219" s="8"/>
      <c r="Q219" s="5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24">
        <v>46213.0</v>
      </c>
      <c r="B220" s="25" t="s">
        <v>27</v>
      </c>
      <c r="C220" s="25">
        <v>1000.0</v>
      </c>
      <c r="D220" s="26" t="str">
        <f t="shared" si="26"/>
        <v>#DIV/0!</v>
      </c>
      <c r="E220" s="5"/>
      <c r="F220" s="5">
        <f t="shared" si="30"/>
        <v>0</v>
      </c>
      <c r="G220" s="5"/>
      <c r="H220" s="5"/>
      <c r="I220" s="5">
        <f t="shared" si="32"/>
        <v>0</v>
      </c>
      <c r="J220" s="5"/>
      <c r="K220" s="5"/>
      <c r="L220" s="5">
        <f t="shared" si="28"/>
        <v>0</v>
      </c>
      <c r="M220" s="5">
        <f t="shared" si="31"/>
        <v>0</v>
      </c>
      <c r="N220" s="5"/>
      <c r="O220" s="7"/>
      <c r="P220" s="8"/>
      <c r="Q220" s="5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24">
        <v>46214.0</v>
      </c>
      <c r="B221" s="25" t="s">
        <v>28</v>
      </c>
      <c r="C221" s="25">
        <v>1000.0</v>
      </c>
      <c r="D221" s="26" t="str">
        <f t="shared" si="26"/>
        <v>#DIV/0!</v>
      </c>
      <c r="E221" s="5"/>
      <c r="F221" s="5">
        <f t="shared" si="30"/>
        <v>0</v>
      </c>
      <c r="G221" s="5"/>
      <c r="H221" s="5"/>
      <c r="I221" s="5">
        <f t="shared" si="32"/>
        <v>0</v>
      </c>
      <c r="J221" s="5"/>
      <c r="K221" s="5"/>
      <c r="L221" s="5">
        <f t="shared" si="28"/>
        <v>0</v>
      </c>
      <c r="M221" s="5">
        <f t="shared" si="31"/>
        <v>0</v>
      </c>
      <c r="N221" s="5"/>
      <c r="O221" s="7"/>
      <c r="P221" s="8"/>
      <c r="Q221" s="5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24">
        <v>46215.0</v>
      </c>
      <c r="B222" s="25" t="s">
        <v>29</v>
      </c>
      <c r="C222" s="25">
        <v>1000.0</v>
      </c>
      <c r="D222" s="26" t="str">
        <f t="shared" si="26"/>
        <v>#DIV/0!</v>
      </c>
      <c r="E222" s="25">
        <v>0.0</v>
      </c>
      <c r="F222" s="5">
        <f t="shared" si="30"/>
        <v>0</v>
      </c>
      <c r="G222" s="5">
        <v>0.0</v>
      </c>
      <c r="H222" s="5">
        <v>0.0</v>
      </c>
      <c r="I222" s="5">
        <f t="shared" si="32"/>
        <v>0</v>
      </c>
      <c r="J222" s="5">
        <v>0.0</v>
      </c>
      <c r="K222" s="5">
        <v>0.0</v>
      </c>
      <c r="L222" s="5">
        <f t="shared" si="28"/>
        <v>0</v>
      </c>
      <c r="M222" s="5">
        <f t="shared" si="31"/>
        <v>0</v>
      </c>
      <c r="N222" s="5">
        <v>0.0</v>
      </c>
      <c r="O222" s="7">
        <v>0.0</v>
      </c>
      <c r="P222" s="8"/>
      <c r="Q222" s="5">
        <v>0.0</v>
      </c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24">
        <v>46216.0</v>
      </c>
      <c r="B223" s="25" t="s">
        <v>30</v>
      </c>
      <c r="C223" s="25">
        <v>1000.0</v>
      </c>
      <c r="D223" s="26" t="str">
        <f t="shared" si="26"/>
        <v>#DIV/0!</v>
      </c>
      <c r="E223" s="5"/>
      <c r="F223" s="5">
        <f t="shared" si="30"/>
        <v>0</v>
      </c>
      <c r="G223" s="5"/>
      <c r="H223" s="5"/>
      <c r="I223" s="5">
        <f t="shared" si="32"/>
        <v>0</v>
      </c>
      <c r="J223" s="5"/>
      <c r="K223" s="5"/>
      <c r="L223" s="5">
        <f t="shared" si="28"/>
        <v>0</v>
      </c>
      <c r="M223" s="5">
        <f t="shared" si="31"/>
        <v>0</v>
      </c>
      <c r="N223" s="5"/>
      <c r="O223" s="7"/>
      <c r="P223" s="8"/>
      <c r="Q223" s="5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24">
        <v>46217.0</v>
      </c>
      <c r="B224" s="25" t="s">
        <v>32</v>
      </c>
      <c r="C224" s="25">
        <v>1000.0</v>
      </c>
      <c r="D224" s="26" t="str">
        <f t="shared" si="26"/>
        <v>#DIV/0!</v>
      </c>
      <c r="E224" s="5"/>
      <c r="F224" s="5">
        <f t="shared" si="30"/>
        <v>0</v>
      </c>
      <c r="G224" s="5"/>
      <c r="H224" s="5"/>
      <c r="I224" s="5">
        <f t="shared" si="32"/>
        <v>0</v>
      </c>
      <c r="J224" s="5"/>
      <c r="K224" s="5"/>
      <c r="L224" s="5">
        <f t="shared" si="28"/>
        <v>0</v>
      </c>
      <c r="M224" s="5">
        <f t="shared" si="31"/>
        <v>0</v>
      </c>
      <c r="N224" s="5"/>
      <c r="O224" s="7"/>
      <c r="P224" s="8"/>
      <c r="Q224" s="5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24">
        <v>46218.0</v>
      </c>
      <c r="B225" s="25" t="s">
        <v>33</v>
      </c>
      <c r="C225" s="25">
        <v>1000.0</v>
      </c>
      <c r="D225" s="26" t="str">
        <f t="shared" si="26"/>
        <v>#DIV/0!</v>
      </c>
      <c r="E225" s="5"/>
      <c r="F225" s="5">
        <f t="shared" si="30"/>
        <v>0</v>
      </c>
      <c r="G225" s="5"/>
      <c r="H225" s="5"/>
      <c r="I225" s="5">
        <f t="shared" si="32"/>
        <v>0</v>
      </c>
      <c r="J225" s="5"/>
      <c r="K225" s="5"/>
      <c r="L225" s="5">
        <f t="shared" si="28"/>
        <v>0</v>
      </c>
      <c r="M225" s="5">
        <f t="shared" si="31"/>
        <v>0</v>
      </c>
      <c r="N225" s="5"/>
      <c r="O225" s="7"/>
      <c r="P225" s="8"/>
      <c r="Q225" s="5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24">
        <v>46219.0</v>
      </c>
      <c r="B226" s="25" t="s">
        <v>25</v>
      </c>
      <c r="C226" s="25">
        <v>1000.0</v>
      </c>
      <c r="D226" s="26" t="str">
        <f t="shared" si="26"/>
        <v>#DIV/0!</v>
      </c>
      <c r="E226" s="5"/>
      <c r="F226" s="5">
        <f t="shared" si="30"/>
        <v>0</v>
      </c>
      <c r="G226" s="5"/>
      <c r="H226" s="5"/>
      <c r="I226" s="5">
        <f t="shared" si="32"/>
        <v>0</v>
      </c>
      <c r="J226" s="5"/>
      <c r="K226" s="5"/>
      <c r="L226" s="5">
        <f t="shared" si="28"/>
        <v>0</v>
      </c>
      <c r="M226" s="5">
        <f t="shared" si="31"/>
        <v>0</v>
      </c>
      <c r="N226" s="5"/>
      <c r="O226" s="7"/>
      <c r="P226" s="8"/>
      <c r="Q226" s="5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24">
        <v>46220.0</v>
      </c>
      <c r="B227" s="25" t="s">
        <v>27</v>
      </c>
      <c r="C227" s="25">
        <v>1000.0</v>
      </c>
      <c r="D227" s="26" t="str">
        <f t="shared" si="26"/>
        <v>#DIV/0!</v>
      </c>
      <c r="E227" s="5"/>
      <c r="F227" s="5">
        <f t="shared" si="30"/>
        <v>0</v>
      </c>
      <c r="G227" s="5"/>
      <c r="H227" s="5"/>
      <c r="I227" s="5">
        <f t="shared" si="32"/>
        <v>0</v>
      </c>
      <c r="J227" s="5"/>
      <c r="K227" s="5"/>
      <c r="L227" s="5">
        <f t="shared" si="28"/>
        <v>0</v>
      </c>
      <c r="M227" s="5">
        <f t="shared" si="31"/>
        <v>0</v>
      </c>
      <c r="N227" s="5"/>
      <c r="O227" s="7"/>
      <c r="P227" s="8"/>
      <c r="Q227" s="5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24">
        <v>46221.0</v>
      </c>
      <c r="B228" s="25" t="s">
        <v>28</v>
      </c>
      <c r="C228" s="25">
        <v>1000.0</v>
      </c>
      <c r="D228" s="26" t="str">
        <f t="shared" si="26"/>
        <v>#DIV/0!</v>
      </c>
      <c r="E228" s="5"/>
      <c r="F228" s="5">
        <f t="shared" si="30"/>
        <v>0</v>
      </c>
      <c r="G228" s="5"/>
      <c r="H228" s="5"/>
      <c r="I228" s="5">
        <f t="shared" si="32"/>
        <v>0</v>
      </c>
      <c r="J228" s="5"/>
      <c r="K228" s="5"/>
      <c r="L228" s="5">
        <f t="shared" si="28"/>
        <v>0</v>
      </c>
      <c r="M228" s="5">
        <f t="shared" si="31"/>
        <v>0</v>
      </c>
      <c r="N228" s="5"/>
      <c r="O228" s="7"/>
      <c r="P228" s="8"/>
      <c r="Q228" s="5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24">
        <v>46222.0</v>
      </c>
      <c r="B229" s="25" t="s">
        <v>29</v>
      </c>
      <c r="C229" s="25">
        <v>1000.0</v>
      </c>
      <c r="D229" s="26" t="str">
        <f t="shared" si="26"/>
        <v>#DIV/0!</v>
      </c>
      <c r="E229" s="25">
        <v>0.0</v>
      </c>
      <c r="F229" s="5">
        <f t="shared" si="30"/>
        <v>0</v>
      </c>
      <c r="G229" s="5">
        <v>0.0</v>
      </c>
      <c r="H229" s="5">
        <v>0.0</v>
      </c>
      <c r="I229" s="5">
        <f t="shared" si="32"/>
        <v>0</v>
      </c>
      <c r="J229" s="5">
        <v>0.0</v>
      </c>
      <c r="K229" s="5">
        <v>0.0</v>
      </c>
      <c r="L229" s="5">
        <f t="shared" si="28"/>
        <v>0</v>
      </c>
      <c r="M229" s="5">
        <f t="shared" si="31"/>
        <v>0</v>
      </c>
      <c r="N229" s="5">
        <v>0.0</v>
      </c>
      <c r="O229" s="7">
        <v>0.0</v>
      </c>
      <c r="P229" s="8"/>
      <c r="Q229" s="5">
        <v>0.0</v>
      </c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24">
        <v>46223.0</v>
      </c>
      <c r="B230" s="25" t="s">
        <v>30</v>
      </c>
      <c r="C230" s="25">
        <v>1000.0</v>
      </c>
      <c r="D230" s="26" t="str">
        <f t="shared" si="26"/>
        <v>#DIV/0!</v>
      </c>
      <c r="E230" s="5"/>
      <c r="F230" s="5">
        <f t="shared" si="30"/>
        <v>0</v>
      </c>
      <c r="G230" s="5"/>
      <c r="H230" s="5"/>
      <c r="I230" s="5">
        <f t="shared" si="32"/>
        <v>0</v>
      </c>
      <c r="J230" s="5"/>
      <c r="K230" s="5"/>
      <c r="L230" s="5">
        <f t="shared" si="28"/>
        <v>0</v>
      </c>
      <c r="M230" s="5">
        <f t="shared" si="31"/>
        <v>0</v>
      </c>
      <c r="N230" s="5"/>
      <c r="O230" s="7"/>
      <c r="P230" s="8"/>
      <c r="Q230" s="5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24">
        <v>46224.0</v>
      </c>
      <c r="B231" s="25" t="s">
        <v>32</v>
      </c>
      <c r="C231" s="25">
        <v>1000.0</v>
      </c>
      <c r="D231" s="26" t="str">
        <f t="shared" si="26"/>
        <v>#DIV/0!</v>
      </c>
      <c r="E231" s="5"/>
      <c r="F231" s="5">
        <f t="shared" si="30"/>
        <v>0</v>
      </c>
      <c r="G231" s="5"/>
      <c r="H231" s="5"/>
      <c r="I231" s="5">
        <f t="shared" si="32"/>
        <v>0</v>
      </c>
      <c r="J231" s="5"/>
      <c r="K231" s="5"/>
      <c r="L231" s="5">
        <f t="shared" si="28"/>
        <v>0</v>
      </c>
      <c r="M231" s="5">
        <f t="shared" si="31"/>
        <v>0</v>
      </c>
      <c r="N231" s="5"/>
      <c r="O231" s="7"/>
      <c r="P231" s="8"/>
      <c r="Q231" s="5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24">
        <v>46225.0</v>
      </c>
      <c r="B232" s="25" t="s">
        <v>33</v>
      </c>
      <c r="C232" s="25">
        <v>1000.0</v>
      </c>
      <c r="D232" s="26" t="str">
        <f t="shared" si="26"/>
        <v>#DIV/0!</v>
      </c>
      <c r="E232" s="5"/>
      <c r="F232" s="5">
        <f t="shared" si="30"/>
        <v>0</v>
      </c>
      <c r="G232" s="5"/>
      <c r="H232" s="5"/>
      <c r="I232" s="5">
        <f t="shared" si="32"/>
        <v>0</v>
      </c>
      <c r="J232" s="5"/>
      <c r="K232" s="5"/>
      <c r="L232" s="5">
        <f t="shared" si="28"/>
        <v>0</v>
      </c>
      <c r="M232" s="5">
        <f t="shared" si="31"/>
        <v>0</v>
      </c>
      <c r="N232" s="5"/>
      <c r="O232" s="7"/>
      <c r="P232" s="8"/>
      <c r="Q232" s="5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24">
        <v>46226.0</v>
      </c>
      <c r="B233" s="25" t="s">
        <v>25</v>
      </c>
      <c r="C233" s="25">
        <v>1000.0</v>
      </c>
      <c r="D233" s="26" t="str">
        <f t="shared" si="26"/>
        <v>#DIV/0!</v>
      </c>
      <c r="E233" s="5"/>
      <c r="F233" s="5">
        <f t="shared" si="30"/>
        <v>0</v>
      </c>
      <c r="G233" s="5"/>
      <c r="H233" s="5"/>
      <c r="I233" s="5">
        <f t="shared" si="32"/>
        <v>0</v>
      </c>
      <c r="J233" s="5"/>
      <c r="K233" s="5"/>
      <c r="L233" s="5">
        <f t="shared" si="28"/>
        <v>0</v>
      </c>
      <c r="M233" s="5">
        <f t="shared" si="31"/>
        <v>0</v>
      </c>
      <c r="N233" s="5"/>
      <c r="O233" s="7"/>
      <c r="P233" s="8"/>
      <c r="Q233" s="5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24">
        <v>46227.0</v>
      </c>
      <c r="B234" s="25" t="s">
        <v>27</v>
      </c>
      <c r="C234" s="25">
        <v>1000.0</v>
      </c>
      <c r="D234" s="26" t="str">
        <f t="shared" si="26"/>
        <v>#DIV/0!</v>
      </c>
      <c r="E234" s="5"/>
      <c r="F234" s="5">
        <f t="shared" si="30"/>
        <v>0</v>
      </c>
      <c r="G234" s="5"/>
      <c r="H234" s="5"/>
      <c r="I234" s="5">
        <f t="shared" si="32"/>
        <v>0</v>
      </c>
      <c r="J234" s="5"/>
      <c r="K234" s="5"/>
      <c r="L234" s="5">
        <f t="shared" si="28"/>
        <v>0</v>
      </c>
      <c r="M234" s="5">
        <f t="shared" si="31"/>
        <v>0</v>
      </c>
      <c r="N234" s="5"/>
      <c r="O234" s="7"/>
      <c r="P234" s="8"/>
      <c r="Q234" s="5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24">
        <v>46228.0</v>
      </c>
      <c r="B235" s="25" t="s">
        <v>28</v>
      </c>
      <c r="C235" s="25">
        <v>1000.0</v>
      </c>
      <c r="D235" s="26" t="str">
        <f t="shared" si="26"/>
        <v>#DIV/0!</v>
      </c>
      <c r="E235" s="5"/>
      <c r="F235" s="5">
        <f t="shared" si="30"/>
        <v>0</v>
      </c>
      <c r="G235" s="5"/>
      <c r="H235" s="5"/>
      <c r="I235" s="5">
        <f t="shared" si="32"/>
        <v>0</v>
      </c>
      <c r="J235" s="5"/>
      <c r="K235" s="5"/>
      <c r="L235" s="5">
        <f t="shared" si="28"/>
        <v>0</v>
      </c>
      <c r="M235" s="5">
        <f t="shared" si="31"/>
        <v>0</v>
      </c>
      <c r="N235" s="5"/>
      <c r="O235" s="7"/>
      <c r="P235" s="8"/>
      <c r="Q235" s="5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24">
        <v>46229.0</v>
      </c>
      <c r="B236" s="25" t="s">
        <v>29</v>
      </c>
      <c r="C236" s="25">
        <v>1000.0</v>
      </c>
      <c r="D236" s="26" t="str">
        <f t="shared" si="26"/>
        <v>#DIV/0!</v>
      </c>
      <c r="E236" s="25">
        <v>0.0</v>
      </c>
      <c r="F236" s="5">
        <f t="shared" si="30"/>
        <v>0</v>
      </c>
      <c r="G236" s="5">
        <v>0.0</v>
      </c>
      <c r="H236" s="5">
        <v>0.0</v>
      </c>
      <c r="I236" s="5">
        <f t="shared" si="32"/>
        <v>0</v>
      </c>
      <c r="J236" s="5">
        <v>0.0</v>
      </c>
      <c r="K236" s="5">
        <v>0.0</v>
      </c>
      <c r="L236" s="5">
        <f t="shared" si="28"/>
        <v>0</v>
      </c>
      <c r="M236" s="5">
        <f t="shared" si="31"/>
        <v>0</v>
      </c>
      <c r="N236" s="5">
        <v>0.0</v>
      </c>
      <c r="O236" s="7">
        <v>0.0</v>
      </c>
      <c r="P236" s="8"/>
      <c r="Q236" s="5">
        <v>0.0</v>
      </c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24">
        <v>46230.0</v>
      </c>
      <c r="B237" s="25" t="s">
        <v>30</v>
      </c>
      <c r="C237" s="25">
        <v>1000.0</v>
      </c>
      <c r="D237" s="26" t="str">
        <f t="shared" si="26"/>
        <v>#DIV/0!</v>
      </c>
      <c r="E237" s="5"/>
      <c r="F237" s="5">
        <f t="shared" si="30"/>
        <v>0</v>
      </c>
      <c r="G237" s="5"/>
      <c r="H237" s="5"/>
      <c r="I237" s="5">
        <f t="shared" si="32"/>
        <v>0</v>
      </c>
      <c r="J237" s="5"/>
      <c r="K237" s="5"/>
      <c r="L237" s="5">
        <f t="shared" si="28"/>
        <v>0</v>
      </c>
      <c r="M237" s="5">
        <f t="shared" si="31"/>
        <v>0</v>
      </c>
      <c r="N237" s="5"/>
      <c r="O237" s="7"/>
      <c r="P237" s="8"/>
      <c r="Q237" s="5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24">
        <v>46231.0</v>
      </c>
      <c r="B238" s="25" t="s">
        <v>32</v>
      </c>
      <c r="C238" s="25">
        <v>1000.0</v>
      </c>
      <c r="D238" s="26" t="str">
        <f t="shared" si="26"/>
        <v>#DIV/0!</v>
      </c>
      <c r="E238" s="5"/>
      <c r="F238" s="5">
        <f t="shared" si="30"/>
        <v>0</v>
      </c>
      <c r="G238" s="5"/>
      <c r="H238" s="5"/>
      <c r="I238" s="5">
        <f t="shared" si="32"/>
        <v>0</v>
      </c>
      <c r="J238" s="5"/>
      <c r="K238" s="5"/>
      <c r="L238" s="5">
        <f t="shared" si="28"/>
        <v>0</v>
      </c>
      <c r="M238" s="5">
        <f t="shared" si="31"/>
        <v>0</v>
      </c>
      <c r="N238" s="5"/>
      <c r="O238" s="7"/>
      <c r="P238" s="8"/>
      <c r="Q238" s="5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24">
        <v>46232.0</v>
      </c>
      <c r="B239" s="25" t="s">
        <v>33</v>
      </c>
      <c r="C239" s="25">
        <v>1000.0</v>
      </c>
      <c r="D239" s="26" t="str">
        <f t="shared" si="26"/>
        <v>#DIV/0!</v>
      </c>
      <c r="E239" s="5"/>
      <c r="F239" s="5">
        <f t="shared" si="30"/>
        <v>0</v>
      </c>
      <c r="G239" s="5"/>
      <c r="H239" s="5"/>
      <c r="I239" s="5">
        <f t="shared" si="32"/>
        <v>0</v>
      </c>
      <c r="J239" s="5"/>
      <c r="K239" s="5"/>
      <c r="L239" s="5">
        <f t="shared" si="28"/>
        <v>0</v>
      </c>
      <c r="M239" s="5">
        <f t="shared" si="31"/>
        <v>0</v>
      </c>
      <c r="N239" s="5"/>
      <c r="O239" s="7"/>
      <c r="P239" s="8"/>
      <c r="Q239" s="5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24">
        <v>46233.0</v>
      </c>
      <c r="B240" s="25" t="s">
        <v>25</v>
      </c>
      <c r="C240" s="25">
        <v>1000.0</v>
      </c>
      <c r="D240" s="26" t="str">
        <f t="shared" si="26"/>
        <v>#DIV/0!</v>
      </c>
      <c r="E240" s="5"/>
      <c r="F240" s="5">
        <f t="shared" si="30"/>
        <v>0</v>
      </c>
      <c r="G240" s="5"/>
      <c r="H240" s="5"/>
      <c r="I240" s="5">
        <f t="shared" si="32"/>
        <v>0</v>
      </c>
      <c r="J240" s="5"/>
      <c r="K240" s="5"/>
      <c r="L240" s="5">
        <f t="shared" si="28"/>
        <v>0</v>
      </c>
      <c r="M240" s="5">
        <f t="shared" si="31"/>
        <v>0</v>
      </c>
      <c r="N240" s="5"/>
      <c r="O240" s="7"/>
      <c r="P240" s="8"/>
      <c r="Q240" s="5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24">
        <v>46234.0</v>
      </c>
      <c r="B241" s="25" t="s">
        <v>27</v>
      </c>
      <c r="C241" s="25">
        <v>1000.0</v>
      </c>
      <c r="D241" s="26" t="str">
        <f t="shared" si="26"/>
        <v>#DIV/0!</v>
      </c>
      <c r="E241" s="5"/>
      <c r="F241" s="5">
        <f t="shared" si="30"/>
        <v>0</v>
      </c>
      <c r="G241" s="5"/>
      <c r="H241" s="5"/>
      <c r="I241" s="5">
        <f t="shared" si="32"/>
        <v>0</v>
      </c>
      <c r="J241" s="5"/>
      <c r="K241" s="5"/>
      <c r="L241" s="5">
        <f t="shared" si="28"/>
        <v>0</v>
      </c>
      <c r="M241" s="5">
        <f t="shared" si="31"/>
        <v>0</v>
      </c>
      <c r="N241" s="5"/>
      <c r="O241" s="7"/>
      <c r="P241" s="8"/>
      <c r="Q241" s="5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24">
        <v>46235.0</v>
      </c>
      <c r="B242" s="25" t="s">
        <v>28</v>
      </c>
      <c r="C242" s="25">
        <v>1000.0</v>
      </c>
      <c r="D242" s="26" t="str">
        <f t="shared" si="26"/>
        <v>#DIV/0!</v>
      </c>
      <c r="E242" s="5"/>
      <c r="F242" s="5">
        <f t="shared" si="30"/>
        <v>0</v>
      </c>
      <c r="G242" s="5"/>
      <c r="H242" s="5"/>
      <c r="I242" s="5">
        <f t="shared" si="32"/>
        <v>0</v>
      </c>
      <c r="J242" s="5"/>
      <c r="K242" s="5"/>
      <c r="L242" s="5">
        <f t="shared" si="28"/>
        <v>0</v>
      </c>
      <c r="M242" s="5">
        <f t="shared" si="31"/>
        <v>0</v>
      </c>
      <c r="N242" s="5"/>
      <c r="O242" s="7"/>
      <c r="P242" s="8"/>
      <c r="Q242" s="5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24">
        <v>46236.0</v>
      </c>
      <c r="B243" s="25" t="s">
        <v>29</v>
      </c>
      <c r="C243" s="25">
        <v>1000.0</v>
      </c>
      <c r="D243" s="26" t="str">
        <f t="shared" si="26"/>
        <v>#DIV/0!</v>
      </c>
      <c r="E243" s="25">
        <v>0.0</v>
      </c>
      <c r="F243" s="5">
        <f t="shared" si="30"/>
        <v>0</v>
      </c>
      <c r="G243" s="5">
        <v>0.0</v>
      </c>
      <c r="H243" s="5">
        <v>0.0</v>
      </c>
      <c r="I243" s="5">
        <f t="shared" si="32"/>
        <v>0</v>
      </c>
      <c r="J243" s="5">
        <v>0.0</v>
      </c>
      <c r="K243" s="5">
        <v>0.0</v>
      </c>
      <c r="L243" s="5">
        <f t="shared" si="28"/>
        <v>0</v>
      </c>
      <c r="M243" s="5">
        <f t="shared" si="31"/>
        <v>0</v>
      </c>
      <c r="N243" s="5">
        <v>0.0</v>
      </c>
      <c r="O243" s="7">
        <v>0.0</v>
      </c>
      <c r="P243" s="8"/>
      <c r="Q243" s="5">
        <v>0.0</v>
      </c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24">
        <v>46237.0</v>
      </c>
      <c r="B244" s="25" t="s">
        <v>30</v>
      </c>
      <c r="C244" s="25">
        <v>1000.0</v>
      </c>
      <c r="D244" s="26" t="str">
        <f t="shared" si="26"/>
        <v>#DIV/0!</v>
      </c>
      <c r="E244" s="5"/>
      <c r="F244" s="5">
        <f t="shared" si="30"/>
        <v>0</v>
      </c>
      <c r="G244" s="5"/>
      <c r="H244" s="5"/>
      <c r="I244" s="5">
        <f t="shared" si="32"/>
        <v>0</v>
      </c>
      <c r="J244" s="5"/>
      <c r="K244" s="5"/>
      <c r="L244" s="5">
        <f t="shared" si="28"/>
        <v>0</v>
      </c>
      <c r="M244" s="5">
        <f t="shared" si="31"/>
        <v>0</v>
      </c>
      <c r="N244" s="5"/>
      <c r="O244" s="7"/>
      <c r="P244" s="8"/>
      <c r="Q244" s="5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24">
        <v>46238.0</v>
      </c>
      <c r="B245" s="25" t="s">
        <v>32</v>
      </c>
      <c r="C245" s="25">
        <v>1000.0</v>
      </c>
      <c r="D245" s="26" t="str">
        <f t="shared" si="26"/>
        <v>#DIV/0!</v>
      </c>
      <c r="E245" s="5"/>
      <c r="F245" s="5">
        <f t="shared" si="30"/>
        <v>0</v>
      </c>
      <c r="G245" s="5"/>
      <c r="H245" s="5"/>
      <c r="I245" s="5">
        <f t="shared" si="32"/>
        <v>0</v>
      </c>
      <c r="J245" s="5"/>
      <c r="K245" s="5"/>
      <c r="L245" s="5">
        <f t="shared" si="28"/>
        <v>0</v>
      </c>
      <c r="M245" s="5">
        <f t="shared" si="31"/>
        <v>0</v>
      </c>
      <c r="N245" s="5"/>
      <c r="O245" s="7"/>
      <c r="P245" s="8"/>
      <c r="Q245" s="5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24">
        <v>46239.0</v>
      </c>
      <c r="B246" s="25" t="s">
        <v>33</v>
      </c>
      <c r="C246" s="25">
        <v>1000.0</v>
      </c>
      <c r="D246" s="26" t="str">
        <f t="shared" si="26"/>
        <v>#DIV/0!</v>
      </c>
      <c r="E246" s="5"/>
      <c r="F246" s="5">
        <f t="shared" si="30"/>
        <v>0</v>
      </c>
      <c r="G246" s="5"/>
      <c r="H246" s="5"/>
      <c r="I246" s="5">
        <f t="shared" si="32"/>
        <v>0</v>
      </c>
      <c r="J246" s="5"/>
      <c r="K246" s="5"/>
      <c r="L246" s="5">
        <f t="shared" si="28"/>
        <v>0</v>
      </c>
      <c r="M246" s="5">
        <f t="shared" si="31"/>
        <v>0</v>
      </c>
      <c r="N246" s="5"/>
      <c r="O246" s="7"/>
      <c r="P246" s="8"/>
      <c r="Q246" s="5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24">
        <v>46240.0</v>
      </c>
      <c r="B247" s="25" t="s">
        <v>25</v>
      </c>
      <c r="C247" s="25">
        <v>1000.0</v>
      </c>
      <c r="D247" s="26" t="str">
        <f t="shared" si="26"/>
        <v>#DIV/0!</v>
      </c>
      <c r="E247" s="5"/>
      <c r="F247" s="5">
        <f t="shared" si="30"/>
        <v>0</v>
      </c>
      <c r="G247" s="5"/>
      <c r="H247" s="5"/>
      <c r="I247" s="5">
        <f t="shared" si="32"/>
        <v>0</v>
      </c>
      <c r="J247" s="5"/>
      <c r="K247" s="5"/>
      <c r="L247" s="5">
        <f t="shared" si="28"/>
        <v>0</v>
      </c>
      <c r="M247" s="5">
        <f t="shared" si="31"/>
        <v>0</v>
      </c>
      <c r="N247" s="5"/>
      <c r="O247" s="7"/>
      <c r="P247" s="8"/>
      <c r="Q247" s="5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24">
        <v>46241.0</v>
      </c>
      <c r="B248" s="25" t="s">
        <v>27</v>
      </c>
      <c r="C248" s="25">
        <v>1000.0</v>
      </c>
      <c r="D248" s="26" t="str">
        <f t="shared" si="26"/>
        <v>#DIV/0!</v>
      </c>
      <c r="E248" s="5"/>
      <c r="F248" s="5">
        <f t="shared" si="30"/>
        <v>0</v>
      </c>
      <c r="G248" s="5"/>
      <c r="H248" s="5"/>
      <c r="I248" s="5">
        <f t="shared" si="32"/>
        <v>0</v>
      </c>
      <c r="J248" s="5"/>
      <c r="K248" s="5"/>
      <c r="L248" s="5">
        <f t="shared" si="28"/>
        <v>0</v>
      </c>
      <c r="M248" s="5">
        <f t="shared" si="31"/>
        <v>0</v>
      </c>
      <c r="N248" s="5"/>
      <c r="O248" s="7"/>
      <c r="P248" s="8"/>
      <c r="Q248" s="5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24">
        <v>46242.0</v>
      </c>
      <c r="B249" s="25" t="s">
        <v>28</v>
      </c>
      <c r="C249" s="25">
        <v>1000.0</v>
      </c>
      <c r="D249" s="26" t="str">
        <f t="shared" si="26"/>
        <v>#DIV/0!</v>
      </c>
      <c r="E249" s="5"/>
      <c r="F249" s="5">
        <f t="shared" si="30"/>
        <v>0</v>
      </c>
      <c r="G249" s="5"/>
      <c r="H249" s="5"/>
      <c r="I249" s="5">
        <f t="shared" si="32"/>
        <v>0</v>
      </c>
      <c r="J249" s="5"/>
      <c r="K249" s="5"/>
      <c r="L249" s="5">
        <f t="shared" si="28"/>
        <v>0</v>
      </c>
      <c r="M249" s="5">
        <f t="shared" si="31"/>
        <v>0</v>
      </c>
      <c r="N249" s="5"/>
      <c r="O249" s="7"/>
      <c r="P249" s="8"/>
      <c r="Q249" s="5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24">
        <v>46243.0</v>
      </c>
      <c r="B250" s="25" t="s">
        <v>29</v>
      </c>
      <c r="C250" s="25">
        <v>1000.0</v>
      </c>
      <c r="D250" s="26" t="str">
        <f t="shared" si="26"/>
        <v>#DIV/0!</v>
      </c>
      <c r="E250" s="25">
        <v>0.0</v>
      </c>
      <c r="F250" s="5">
        <f t="shared" si="30"/>
        <v>0</v>
      </c>
      <c r="G250" s="5">
        <v>0.0</v>
      </c>
      <c r="H250" s="5">
        <v>0.0</v>
      </c>
      <c r="I250" s="5">
        <f t="shared" si="32"/>
        <v>0</v>
      </c>
      <c r="J250" s="5">
        <v>0.0</v>
      </c>
      <c r="K250" s="5">
        <v>0.0</v>
      </c>
      <c r="L250" s="5">
        <f t="shared" si="28"/>
        <v>0</v>
      </c>
      <c r="M250" s="5">
        <f t="shared" si="31"/>
        <v>0</v>
      </c>
      <c r="N250" s="5">
        <v>0.0</v>
      </c>
      <c r="O250" s="7">
        <v>0.0</v>
      </c>
      <c r="P250" s="8"/>
      <c r="Q250" s="5">
        <v>0.0</v>
      </c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24">
        <v>46244.0</v>
      </c>
      <c r="B251" s="25" t="s">
        <v>30</v>
      </c>
      <c r="C251" s="25">
        <v>1000.0</v>
      </c>
      <c r="D251" s="26" t="str">
        <f t="shared" si="26"/>
        <v>#DIV/0!</v>
      </c>
      <c r="E251" s="5"/>
      <c r="F251" s="5">
        <f t="shared" si="30"/>
        <v>0</v>
      </c>
      <c r="G251" s="5"/>
      <c r="H251" s="5"/>
      <c r="I251" s="5">
        <f t="shared" si="32"/>
        <v>0</v>
      </c>
      <c r="J251" s="5"/>
      <c r="K251" s="5"/>
      <c r="L251" s="5">
        <f t="shared" si="28"/>
        <v>0</v>
      </c>
      <c r="M251" s="5">
        <f t="shared" si="31"/>
        <v>0</v>
      </c>
      <c r="N251" s="5"/>
      <c r="O251" s="7"/>
      <c r="P251" s="8"/>
      <c r="Q251" s="5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24">
        <v>46245.0</v>
      </c>
      <c r="B252" s="25" t="s">
        <v>32</v>
      </c>
      <c r="C252" s="25">
        <v>1000.0</v>
      </c>
      <c r="D252" s="26" t="str">
        <f t="shared" si="26"/>
        <v>#DIV/0!</v>
      </c>
      <c r="E252" s="5"/>
      <c r="F252" s="5">
        <f t="shared" si="30"/>
        <v>0</v>
      </c>
      <c r="G252" s="5"/>
      <c r="H252" s="5"/>
      <c r="I252" s="5">
        <f t="shared" si="32"/>
        <v>0</v>
      </c>
      <c r="J252" s="5"/>
      <c r="K252" s="5"/>
      <c r="L252" s="5">
        <f t="shared" si="28"/>
        <v>0</v>
      </c>
      <c r="M252" s="5">
        <f t="shared" si="31"/>
        <v>0</v>
      </c>
      <c r="N252" s="5"/>
      <c r="O252" s="7"/>
      <c r="P252" s="8"/>
      <c r="Q252" s="5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24">
        <v>46246.0</v>
      </c>
      <c r="B253" s="25" t="s">
        <v>33</v>
      </c>
      <c r="C253" s="25">
        <v>1000.0</v>
      </c>
      <c r="D253" s="26" t="str">
        <f t="shared" si="26"/>
        <v>#DIV/0!</v>
      </c>
      <c r="E253" s="5"/>
      <c r="F253" s="5">
        <f t="shared" si="30"/>
        <v>0</v>
      </c>
      <c r="G253" s="5"/>
      <c r="H253" s="5"/>
      <c r="I253" s="5">
        <f t="shared" si="32"/>
        <v>0</v>
      </c>
      <c r="J253" s="5"/>
      <c r="K253" s="5"/>
      <c r="L253" s="5">
        <f t="shared" si="28"/>
        <v>0</v>
      </c>
      <c r="M253" s="5">
        <f t="shared" si="31"/>
        <v>0</v>
      </c>
      <c r="N253" s="5"/>
      <c r="O253" s="7"/>
      <c r="P253" s="8"/>
      <c r="Q253" s="5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24">
        <v>46247.0</v>
      </c>
      <c r="B254" s="25" t="s">
        <v>25</v>
      </c>
      <c r="C254" s="25">
        <v>1000.0</v>
      </c>
      <c r="D254" s="26" t="str">
        <f t="shared" si="26"/>
        <v>#DIV/0!</v>
      </c>
      <c r="E254" s="5"/>
      <c r="F254" s="5">
        <f t="shared" si="30"/>
        <v>0</v>
      </c>
      <c r="G254" s="5"/>
      <c r="H254" s="5"/>
      <c r="I254" s="5">
        <f t="shared" si="32"/>
        <v>0</v>
      </c>
      <c r="J254" s="5"/>
      <c r="K254" s="5"/>
      <c r="L254" s="5">
        <f t="shared" si="28"/>
        <v>0</v>
      </c>
      <c r="M254" s="5">
        <f t="shared" si="31"/>
        <v>0</v>
      </c>
      <c r="N254" s="5"/>
      <c r="O254" s="7"/>
      <c r="P254" s="8"/>
      <c r="Q254" s="5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24">
        <v>46248.0</v>
      </c>
      <c r="B255" s="25" t="s">
        <v>27</v>
      </c>
      <c r="C255" s="25">
        <v>1000.0</v>
      </c>
      <c r="D255" s="26" t="str">
        <f t="shared" si="26"/>
        <v>#DIV/0!</v>
      </c>
      <c r="E255" s="5"/>
      <c r="F255" s="5">
        <f t="shared" si="30"/>
        <v>0</v>
      </c>
      <c r="G255" s="5"/>
      <c r="H255" s="5"/>
      <c r="I255" s="5">
        <f t="shared" si="32"/>
        <v>0</v>
      </c>
      <c r="J255" s="5"/>
      <c r="K255" s="5"/>
      <c r="L255" s="5">
        <f t="shared" si="28"/>
        <v>0</v>
      </c>
      <c r="M255" s="5">
        <f t="shared" si="31"/>
        <v>0</v>
      </c>
      <c r="N255" s="5"/>
      <c r="O255" s="7"/>
      <c r="P255" s="8"/>
      <c r="Q255" s="5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24">
        <v>46249.0</v>
      </c>
      <c r="B256" s="25" t="s">
        <v>28</v>
      </c>
      <c r="C256" s="25">
        <v>1000.0</v>
      </c>
      <c r="D256" s="26" t="str">
        <f t="shared" si="26"/>
        <v>#DIV/0!</v>
      </c>
      <c r="E256" s="5"/>
      <c r="F256" s="5">
        <f t="shared" si="30"/>
        <v>0</v>
      </c>
      <c r="G256" s="5"/>
      <c r="H256" s="5"/>
      <c r="I256" s="5">
        <f t="shared" si="32"/>
        <v>0</v>
      </c>
      <c r="J256" s="5"/>
      <c r="K256" s="5"/>
      <c r="L256" s="5">
        <f t="shared" si="28"/>
        <v>0</v>
      </c>
      <c r="M256" s="5">
        <f t="shared" si="31"/>
        <v>0</v>
      </c>
      <c r="N256" s="5"/>
      <c r="O256" s="7"/>
      <c r="P256" s="8"/>
      <c r="Q256" s="5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24">
        <v>46250.0</v>
      </c>
      <c r="B257" s="25" t="s">
        <v>29</v>
      </c>
      <c r="C257" s="25">
        <v>1000.0</v>
      </c>
      <c r="D257" s="26" t="str">
        <f t="shared" si="26"/>
        <v>#DIV/0!</v>
      </c>
      <c r="E257" s="37">
        <v>0.0</v>
      </c>
      <c r="F257" s="5">
        <f t="shared" si="30"/>
        <v>0</v>
      </c>
      <c r="G257" s="5">
        <v>0.0</v>
      </c>
      <c r="H257" s="5">
        <v>0.0</v>
      </c>
      <c r="I257" s="5">
        <f t="shared" si="32"/>
        <v>0</v>
      </c>
      <c r="J257" s="5">
        <v>0.0</v>
      </c>
      <c r="K257" s="5">
        <v>0.0</v>
      </c>
      <c r="L257" s="5">
        <f t="shared" si="28"/>
        <v>0</v>
      </c>
      <c r="M257" s="5">
        <f t="shared" si="31"/>
        <v>0</v>
      </c>
      <c r="N257" s="5">
        <v>0.0</v>
      </c>
      <c r="O257" s="7">
        <v>0.0</v>
      </c>
      <c r="P257" s="8"/>
      <c r="Q257" s="5">
        <v>0.0</v>
      </c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24">
        <v>46251.0</v>
      </c>
      <c r="B258" s="25" t="s">
        <v>30</v>
      </c>
      <c r="C258" s="25">
        <v>1000.0</v>
      </c>
      <c r="D258" s="26" t="str">
        <f t="shared" si="26"/>
        <v>#DIV/0!</v>
      </c>
      <c r="E258" s="5"/>
      <c r="F258" s="5">
        <f t="shared" si="30"/>
        <v>0</v>
      </c>
      <c r="G258" s="5"/>
      <c r="H258" s="5"/>
      <c r="I258" s="5">
        <f t="shared" si="32"/>
        <v>0</v>
      </c>
      <c r="J258" s="5"/>
      <c r="K258" s="5"/>
      <c r="L258" s="5">
        <f t="shared" si="28"/>
        <v>0</v>
      </c>
      <c r="M258" s="5">
        <f t="shared" si="31"/>
        <v>0</v>
      </c>
      <c r="N258" s="5"/>
      <c r="O258" s="7"/>
      <c r="P258" s="8"/>
      <c r="Q258" s="5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24">
        <v>46252.0</v>
      </c>
      <c r="B259" s="25" t="s">
        <v>32</v>
      </c>
      <c r="C259" s="25">
        <v>1000.0</v>
      </c>
      <c r="D259" s="26" t="str">
        <f t="shared" si="26"/>
        <v>#DIV/0!</v>
      </c>
      <c r="E259" s="5"/>
      <c r="F259" s="5">
        <f t="shared" si="30"/>
        <v>0</v>
      </c>
      <c r="G259" s="5"/>
      <c r="H259" s="5"/>
      <c r="I259" s="5">
        <f t="shared" si="32"/>
        <v>0</v>
      </c>
      <c r="J259" s="5"/>
      <c r="K259" s="5"/>
      <c r="L259" s="5">
        <f t="shared" si="28"/>
        <v>0</v>
      </c>
      <c r="M259" s="5">
        <f t="shared" si="31"/>
        <v>0</v>
      </c>
      <c r="N259" s="5"/>
      <c r="O259" s="7"/>
      <c r="P259" s="8"/>
      <c r="Q259" s="5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24">
        <v>46253.0</v>
      </c>
      <c r="B260" s="25" t="s">
        <v>33</v>
      </c>
      <c r="C260" s="25">
        <v>1000.0</v>
      </c>
      <c r="D260" s="26" t="str">
        <f t="shared" si="26"/>
        <v>#DIV/0!</v>
      </c>
      <c r="E260" s="5"/>
      <c r="F260" s="5">
        <f t="shared" si="30"/>
        <v>0</v>
      </c>
      <c r="G260" s="5"/>
      <c r="H260" s="5"/>
      <c r="I260" s="5">
        <f t="shared" si="32"/>
        <v>0</v>
      </c>
      <c r="J260" s="5"/>
      <c r="K260" s="5"/>
      <c r="L260" s="5">
        <f t="shared" si="28"/>
        <v>0</v>
      </c>
      <c r="M260" s="5">
        <f t="shared" si="31"/>
        <v>0</v>
      </c>
      <c r="N260" s="5"/>
      <c r="O260" s="7"/>
      <c r="P260" s="8"/>
      <c r="Q260" s="5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24">
        <v>46254.0</v>
      </c>
      <c r="B261" s="25" t="s">
        <v>25</v>
      </c>
      <c r="C261" s="25">
        <v>1000.0</v>
      </c>
      <c r="D261" s="26" t="str">
        <f t="shared" si="26"/>
        <v>#DIV/0!</v>
      </c>
      <c r="E261" s="5"/>
      <c r="F261" s="5">
        <f t="shared" si="30"/>
        <v>0</v>
      </c>
      <c r="G261" s="5"/>
      <c r="H261" s="5"/>
      <c r="I261" s="5">
        <f t="shared" si="32"/>
        <v>0</v>
      </c>
      <c r="J261" s="5"/>
      <c r="K261" s="5"/>
      <c r="L261" s="5">
        <f t="shared" si="28"/>
        <v>0</v>
      </c>
      <c r="M261" s="5">
        <f t="shared" si="31"/>
        <v>0</v>
      </c>
      <c r="N261" s="5"/>
      <c r="O261" s="7"/>
      <c r="P261" s="8"/>
      <c r="Q261" s="5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24">
        <v>46255.0</v>
      </c>
      <c r="B262" s="25" t="s">
        <v>27</v>
      </c>
      <c r="C262" s="25">
        <v>1000.0</v>
      </c>
      <c r="D262" s="26" t="str">
        <f t="shared" si="26"/>
        <v>#DIV/0!</v>
      </c>
      <c r="E262" s="5"/>
      <c r="F262" s="5">
        <f t="shared" si="30"/>
        <v>0</v>
      </c>
      <c r="G262" s="5"/>
      <c r="H262" s="5"/>
      <c r="I262" s="5">
        <f t="shared" si="32"/>
        <v>0</v>
      </c>
      <c r="J262" s="5"/>
      <c r="K262" s="5"/>
      <c r="L262" s="5">
        <f t="shared" si="28"/>
        <v>0</v>
      </c>
      <c r="M262" s="5">
        <f t="shared" si="31"/>
        <v>0</v>
      </c>
      <c r="N262" s="5"/>
      <c r="O262" s="7"/>
      <c r="P262" s="8"/>
      <c r="Q262" s="5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24">
        <v>46256.0</v>
      </c>
      <c r="B263" s="25" t="s">
        <v>28</v>
      </c>
      <c r="C263" s="25">
        <v>1000.0</v>
      </c>
      <c r="D263" s="26" t="str">
        <f t="shared" si="26"/>
        <v>#DIV/0!</v>
      </c>
      <c r="E263" s="5"/>
      <c r="F263" s="5">
        <f t="shared" si="30"/>
        <v>0</v>
      </c>
      <c r="G263" s="5"/>
      <c r="H263" s="5"/>
      <c r="I263" s="5">
        <f t="shared" si="32"/>
        <v>0</v>
      </c>
      <c r="J263" s="5"/>
      <c r="K263" s="5"/>
      <c r="L263" s="5">
        <f t="shared" si="28"/>
        <v>0</v>
      </c>
      <c r="M263" s="5">
        <f t="shared" si="31"/>
        <v>0</v>
      </c>
      <c r="N263" s="5"/>
      <c r="O263" s="7"/>
      <c r="P263" s="8"/>
      <c r="Q263" s="5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24">
        <v>46257.0</v>
      </c>
      <c r="B264" s="25" t="s">
        <v>29</v>
      </c>
      <c r="C264" s="25">
        <v>1000.0</v>
      </c>
      <c r="D264" s="26" t="str">
        <f t="shared" si="26"/>
        <v>#DIV/0!</v>
      </c>
      <c r="E264" s="5">
        <v>0.0</v>
      </c>
      <c r="F264" s="5">
        <f t="shared" si="30"/>
        <v>0</v>
      </c>
      <c r="G264" s="5">
        <v>0.0</v>
      </c>
      <c r="H264" s="5">
        <v>0.0</v>
      </c>
      <c r="I264" s="5">
        <f t="shared" si="32"/>
        <v>0</v>
      </c>
      <c r="J264" s="5">
        <v>0.0</v>
      </c>
      <c r="K264" s="5">
        <v>0.0</v>
      </c>
      <c r="L264" s="5">
        <f t="shared" si="28"/>
        <v>0</v>
      </c>
      <c r="M264" s="5">
        <f t="shared" si="31"/>
        <v>0</v>
      </c>
      <c r="N264" s="5">
        <v>0.0</v>
      </c>
      <c r="O264" s="7">
        <v>0.0</v>
      </c>
      <c r="P264" s="8"/>
      <c r="Q264" s="5">
        <v>0.0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24">
        <v>46258.0</v>
      </c>
      <c r="B265" s="25" t="s">
        <v>30</v>
      </c>
      <c r="C265" s="25">
        <v>1000.0</v>
      </c>
      <c r="D265" s="26" t="str">
        <f t="shared" si="26"/>
        <v>#DIV/0!</v>
      </c>
      <c r="E265" s="5"/>
      <c r="F265" s="5">
        <f t="shared" si="30"/>
        <v>0</v>
      </c>
      <c r="G265" s="5"/>
      <c r="H265" s="5"/>
      <c r="I265" s="5">
        <f t="shared" si="32"/>
        <v>0</v>
      </c>
      <c r="J265" s="5"/>
      <c r="K265" s="5"/>
      <c r="L265" s="5">
        <f t="shared" si="28"/>
        <v>0</v>
      </c>
      <c r="M265" s="5">
        <f t="shared" si="31"/>
        <v>0</v>
      </c>
      <c r="N265" s="5"/>
      <c r="O265" s="7"/>
      <c r="P265" s="8"/>
      <c r="Q265" s="5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24">
        <v>46259.0</v>
      </c>
      <c r="B266" s="25" t="s">
        <v>32</v>
      </c>
      <c r="C266" s="25">
        <v>1000.0</v>
      </c>
      <c r="D266" s="26" t="str">
        <f t="shared" si="26"/>
        <v>#DIV/0!</v>
      </c>
      <c r="E266" s="5"/>
      <c r="F266" s="5">
        <f t="shared" si="30"/>
        <v>0</v>
      </c>
      <c r="G266" s="5"/>
      <c r="H266" s="5"/>
      <c r="I266" s="5">
        <f t="shared" si="32"/>
        <v>0</v>
      </c>
      <c r="J266" s="5"/>
      <c r="K266" s="5"/>
      <c r="L266" s="5">
        <f t="shared" si="28"/>
        <v>0</v>
      </c>
      <c r="M266" s="5">
        <f t="shared" si="31"/>
        <v>0</v>
      </c>
      <c r="N266" s="5"/>
      <c r="O266" s="7"/>
      <c r="P266" s="8"/>
      <c r="Q266" s="5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24">
        <v>46260.0</v>
      </c>
      <c r="B267" s="25" t="s">
        <v>33</v>
      </c>
      <c r="C267" s="25">
        <v>1000.0</v>
      </c>
      <c r="D267" s="26" t="str">
        <f t="shared" si="26"/>
        <v>#DIV/0!</v>
      </c>
      <c r="E267" s="5"/>
      <c r="F267" s="5">
        <f t="shared" si="30"/>
        <v>0</v>
      </c>
      <c r="G267" s="5"/>
      <c r="H267" s="5"/>
      <c r="I267" s="5">
        <f t="shared" si="32"/>
        <v>0</v>
      </c>
      <c r="J267" s="5"/>
      <c r="K267" s="5"/>
      <c r="L267" s="5">
        <f t="shared" si="28"/>
        <v>0</v>
      </c>
      <c r="M267" s="5">
        <f t="shared" si="31"/>
        <v>0</v>
      </c>
      <c r="N267" s="5"/>
      <c r="O267" s="7"/>
      <c r="P267" s="8"/>
      <c r="Q267" s="5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24">
        <v>46261.0</v>
      </c>
      <c r="B268" s="25" t="s">
        <v>25</v>
      </c>
      <c r="C268" s="25">
        <v>1000.0</v>
      </c>
      <c r="D268" s="26" t="str">
        <f t="shared" si="26"/>
        <v>#DIV/0!</v>
      </c>
      <c r="E268" s="5"/>
      <c r="F268" s="5">
        <f t="shared" si="30"/>
        <v>0</v>
      </c>
      <c r="G268" s="5"/>
      <c r="H268" s="5"/>
      <c r="I268" s="5">
        <f t="shared" si="32"/>
        <v>0</v>
      </c>
      <c r="J268" s="5"/>
      <c r="K268" s="5"/>
      <c r="L268" s="5">
        <f t="shared" si="28"/>
        <v>0</v>
      </c>
      <c r="M268" s="5">
        <f t="shared" si="31"/>
        <v>0</v>
      </c>
      <c r="N268" s="5"/>
      <c r="O268" s="7"/>
      <c r="P268" s="8"/>
      <c r="Q268" s="5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24">
        <v>46262.0</v>
      </c>
      <c r="B269" s="25" t="s">
        <v>27</v>
      </c>
      <c r="C269" s="25">
        <v>1000.0</v>
      </c>
      <c r="D269" s="26" t="str">
        <f t="shared" si="26"/>
        <v>#DIV/0!</v>
      </c>
      <c r="E269" s="5"/>
      <c r="F269" s="5">
        <f t="shared" si="30"/>
        <v>0</v>
      </c>
      <c r="G269" s="5"/>
      <c r="H269" s="5"/>
      <c r="I269" s="5">
        <f t="shared" si="32"/>
        <v>0</v>
      </c>
      <c r="J269" s="5"/>
      <c r="K269" s="5"/>
      <c r="L269" s="5">
        <f t="shared" si="28"/>
        <v>0</v>
      </c>
      <c r="M269" s="5">
        <f t="shared" si="31"/>
        <v>0</v>
      </c>
      <c r="N269" s="5"/>
      <c r="O269" s="7"/>
      <c r="P269" s="8"/>
      <c r="Q269" s="5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24">
        <v>46263.0</v>
      </c>
      <c r="B270" s="25" t="s">
        <v>28</v>
      </c>
      <c r="C270" s="25">
        <v>1000.0</v>
      </c>
      <c r="D270" s="26" t="str">
        <f t="shared" si="26"/>
        <v>#DIV/0!</v>
      </c>
      <c r="E270" s="5"/>
      <c r="F270" s="5">
        <f t="shared" si="30"/>
        <v>0</v>
      </c>
      <c r="G270" s="5"/>
      <c r="H270" s="5"/>
      <c r="I270" s="5">
        <f t="shared" si="32"/>
        <v>0</v>
      </c>
      <c r="J270" s="5"/>
      <c r="K270" s="5"/>
      <c r="L270" s="5">
        <f t="shared" si="28"/>
        <v>0</v>
      </c>
      <c r="M270" s="5">
        <f t="shared" si="31"/>
        <v>0</v>
      </c>
      <c r="N270" s="5"/>
      <c r="O270" s="7"/>
      <c r="P270" s="8"/>
      <c r="Q270" s="5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24">
        <v>46264.0</v>
      </c>
      <c r="B271" s="25" t="s">
        <v>29</v>
      </c>
      <c r="C271" s="25">
        <v>1000.0</v>
      </c>
      <c r="D271" s="26" t="str">
        <f t="shared" si="26"/>
        <v>#DIV/0!</v>
      </c>
      <c r="E271" s="5">
        <v>0.0</v>
      </c>
      <c r="F271" s="5">
        <f t="shared" si="30"/>
        <v>0</v>
      </c>
      <c r="G271" s="5">
        <v>0.0</v>
      </c>
      <c r="H271" s="5">
        <v>0.0</v>
      </c>
      <c r="I271" s="5">
        <f t="shared" si="32"/>
        <v>0</v>
      </c>
      <c r="J271" s="5">
        <v>0.0</v>
      </c>
      <c r="K271" s="5">
        <v>0.0</v>
      </c>
      <c r="L271" s="5">
        <f t="shared" si="28"/>
        <v>0</v>
      </c>
      <c r="M271" s="5">
        <f t="shared" si="31"/>
        <v>0</v>
      </c>
      <c r="N271" s="5">
        <v>0.0</v>
      </c>
      <c r="O271" s="7">
        <v>0.0</v>
      </c>
      <c r="P271" s="8"/>
      <c r="Q271" s="5">
        <v>0.0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24">
        <v>46265.0</v>
      </c>
      <c r="B272" s="25" t="s">
        <v>30</v>
      </c>
      <c r="C272" s="25">
        <v>1000.0</v>
      </c>
      <c r="D272" s="26" t="str">
        <f t="shared" si="26"/>
        <v>#DIV/0!</v>
      </c>
      <c r="E272" s="5"/>
      <c r="F272" s="5">
        <f t="shared" si="30"/>
        <v>0</v>
      </c>
      <c r="G272" s="5"/>
      <c r="H272" s="5"/>
      <c r="I272" s="5">
        <f t="shared" si="32"/>
        <v>0</v>
      </c>
      <c r="J272" s="5"/>
      <c r="K272" s="5"/>
      <c r="L272" s="5">
        <f t="shared" si="28"/>
        <v>0</v>
      </c>
      <c r="M272" s="5">
        <f t="shared" si="31"/>
        <v>0</v>
      </c>
      <c r="N272" s="5"/>
      <c r="O272" s="7"/>
      <c r="P272" s="8"/>
      <c r="Q272" s="5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24">
        <v>46266.0</v>
      </c>
      <c r="B273" s="25" t="s">
        <v>32</v>
      </c>
      <c r="C273" s="25">
        <v>1000.0</v>
      </c>
      <c r="D273" s="26" t="str">
        <f t="shared" si="26"/>
        <v>#DIV/0!</v>
      </c>
      <c r="E273" s="5"/>
      <c r="F273" s="5">
        <f t="shared" si="30"/>
        <v>0</v>
      </c>
      <c r="G273" s="5"/>
      <c r="H273" s="5"/>
      <c r="I273" s="5">
        <f t="shared" si="32"/>
        <v>0</v>
      </c>
      <c r="J273" s="5"/>
      <c r="K273" s="5"/>
      <c r="L273" s="5">
        <f t="shared" si="28"/>
        <v>0</v>
      </c>
      <c r="M273" s="5">
        <f t="shared" si="31"/>
        <v>0</v>
      </c>
      <c r="N273" s="5"/>
      <c r="O273" s="7"/>
      <c r="P273" s="8"/>
      <c r="Q273" s="5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24">
        <v>46267.0</v>
      </c>
      <c r="B274" s="25" t="s">
        <v>33</v>
      </c>
      <c r="C274" s="25">
        <v>1000.0</v>
      </c>
      <c r="D274" s="26" t="str">
        <f t="shared" si="26"/>
        <v>#DIV/0!</v>
      </c>
      <c r="E274" s="5"/>
      <c r="F274" s="5">
        <f t="shared" si="30"/>
        <v>0</v>
      </c>
      <c r="G274" s="5"/>
      <c r="H274" s="5"/>
      <c r="I274" s="5">
        <f t="shared" si="32"/>
        <v>0</v>
      </c>
      <c r="J274" s="5"/>
      <c r="K274" s="5"/>
      <c r="L274" s="5">
        <f t="shared" si="28"/>
        <v>0</v>
      </c>
      <c r="M274" s="5">
        <f t="shared" si="31"/>
        <v>0</v>
      </c>
      <c r="N274" s="5"/>
      <c r="O274" s="7"/>
      <c r="P274" s="8"/>
      <c r="Q274" s="5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24">
        <v>46268.0</v>
      </c>
      <c r="B275" s="25" t="s">
        <v>25</v>
      </c>
      <c r="C275" s="25">
        <v>1000.0</v>
      </c>
      <c r="D275" s="26" t="str">
        <f t="shared" si="26"/>
        <v>#DIV/0!</v>
      </c>
      <c r="E275" s="5"/>
      <c r="F275" s="5">
        <f t="shared" si="30"/>
        <v>0</v>
      </c>
      <c r="G275" s="5"/>
      <c r="H275" s="5"/>
      <c r="I275" s="5">
        <f t="shared" si="32"/>
        <v>0</v>
      </c>
      <c r="J275" s="5"/>
      <c r="K275" s="5"/>
      <c r="L275" s="5">
        <f t="shared" si="28"/>
        <v>0</v>
      </c>
      <c r="M275" s="5">
        <f t="shared" si="31"/>
        <v>0</v>
      </c>
      <c r="N275" s="5"/>
      <c r="O275" s="7"/>
      <c r="P275" s="8"/>
      <c r="Q275" s="5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24">
        <v>46269.0</v>
      </c>
      <c r="B276" s="25" t="s">
        <v>27</v>
      </c>
      <c r="C276" s="25">
        <v>1000.0</v>
      </c>
      <c r="D276" s="26" t="str">
        <f t="shared" si="26"/>
        <v>#DIV/0!</v>
      </c>
      <c r="E276" s="5"/>
      <c r="F276" s="5">
        <f t="shared" si="30"/>
        <v>0</v>
      </c>
      <c r="G276" s="5"/>
      <c r="H276" s="5"/>
      <c r="I276" s="5">
        <f t="shared" si="32"/>
        <v>0</v>
      </c>
      <c r="J276" s="5"/>
      <c r="K276" s="5"/>
      <c r="L276" s="5">
        <f t="shared" si="28"/>
        <v>0</v>
      </c>
      <c r="M276" s="5">
        <f t="shared" si="31"/>
        <v>0</v>
      </c>
      <c r="N276" s="5"/>
      <c r="O276" s="7"/>
      <c r="P276" s="8"/>
      <c r="Q276" s="5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24">
        <v>46270.0</v>
      </c>
      <c r="B277" s="25" t="s">
        <v>28</v>
      </c>
      <c r="C277" s="25">
        <v>1000.0</v>
      </c>
      <c r="D277" s="26" t="str">
        <f t="shared" si="26"/>
        <v>#DIV/0!</v>
      </c>
      <c r="E277" s="5"/>
      <c r="F277" s="5">
        <f t="shared" si="30"/>
        <v>0</v>
      </c>
      <c r="G277" s="5"/>
      <c r="H277" s="5"/>
      <c r="I277" s="5">
        <f t="shared" si="32"/>
        <v>0</v>
      </c>
      <c r="J277" s="5"/>
      <c r="K277" s="5"/>
      <c r="L277" s="5">
        <f t="shared" si="28"/>
        <v>0</v>
      </c>
      <c r="M277" s="5">
        <f t="shared" si="31"/>
        <v>0</v>
      </c>
      <c r="N277" s="5"/>
      <c r="O277" s="7"/>
      <c r="P277" s="8"/>
      <c r="Q277" s="5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24">
        <v>46271.0</v>
      </c>
      <c r="B278" s="25" t="s">
        <v>29</v>
      </c>
      <c r="C278" s="25">
        <v>1000.0</v>
      </c>
      <c r="D278" s="26" t="str">
        <f t="shared" si="26"/>
        <v>#DIV/0!</v>
      </c>
      <c r="E278" s="5">
        <v>0.0</v>
      </c>
      <c r="F278" s="5">
        <f t="shared" si="30"/>
        <v>0</v>
      </c>
      <c r="G278" s="5">
        <v>0.0</v>
      </c>
      <c r="H278" s="5">
        <v>0.0</v>
      </c>
      <c r="I278" s="5">
        <f t="shared" si="32"/>
        <v>0</v>
      </c>
      <c r="J278" s="5">
        <v>0.0</v>
      </c>
      <c r="K278" s="5">
        <v>0.0</v>
      </c>
      <c r="L278" s="5">
        <f t="shared" si="28"/>
        <v>0</v>
      </c>
      <c r="M278" s="5">
        <f t="shared" si="31"/>
        <v>0</v>
      </c>
      <c r="N278" s="5">
        <v>0.0</v>
      </c>
      <c r="O278" s="7">
        <v>0.0</v>
      </c>
      <c r="P278" s="8"/>
      <c r="Q278" s="5">
        <v>0.0</v>
      </c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24">
        <v>46272.0</v>
      </c>
      <c r="B279" s="25" t="s">
        <v>30</v>
      </c>
      <c r="C279" s="25">
        <v>1000.0</v>
      </c>
      <c r="D279" s="26" t="str">
        <f t="shared" si="26"/>
        <v>#DIV/0!</v>
      </c>
      <c r="E279" s="5"/>
      <c r="F279" s="5">
        <f t="shared" si="30"/>
        <v>0</v>
      </c>
      <c r="G279" s="5"/>
      <c r="H279" s="5"/>
      <c r="I279" s="5">
        <f t="shared" si="32"/>
        <v>0</v>
      </c>
      <c r="J279" s="5"/>
      <c r="K279" s="5"/>
      <c r="L279" s="5">
        <f t="shared" si="28"/>
        <v>0</v>
      </c>
      <c r="M279" s="5">
        <f t="shared" si="31"/>
        <v>0</v>
      </c>
      <c r="N279" s="5"/>
      <c r="O279" s="7"/>
      <c r="P279" s="8"/>
      <c r="Q279" s="5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24">
        <v>46273.0</v>
      </c>
      <c r="B280" s="25" t="s">
        <v>32</v>
      </c>
      <c r="C280" s="25">
        <v>1000.0</v>
      </c>
      <c r="D280" s="26" t="str">
        <f t="shared" si="26"/>
        <v>#DIV/0!</v>
      </c>
      <c r="E280" s="5"/>
      <c r="F280" s="5">
        <f t="shared" si="30"/>
        <v>0</v>
      </c>
      <c r="G280" s="5"/>
      <c r="H280" s="5"/>
      <c r="I280" s="5">
        <f t="shared" si="32"/>
        <v>0</v>
      </c>
      <c r="J280" s="5"/>
      <c r="K280" s="5"/>
      <c r="L280" s="5">
        <f t="shared" si="28"/>
        <v>0</v>
      </c>
      <c r="M280" s="5">
        <f t="shared" si="31"/>
        <v>0</v>
      </c>
      <c r="N280" s="5"/>
      <c r="O280" s="7"/>
      <c r="P280" s="8"/>
      <c r="Q280" s="5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24">
        <v>46274.0</v>
      </c>
      <c r="B281" s="25" t="s">
        <v>33</v>
      </c>
      <c r="C281" s="25">
        <v>1000.0</v>
      </c>
      <c r="D281" s="26" t="str">
        <f t="shared" si="26"/>
        <v>#DIV/0!</v>
      </c>
      <c r="E281" s="5"/>
      <c r="F281" s="5">
        <f t="shared" si="30"/>
        <v>0</v>
      </c>
      <c r="G281" s="5"/>
      <c r="H281" s="5"/>
      <c r="I281" s="5">
        <f t="shared" si="32"/>
        <v>0</v>
      </c>
      <c r="J281" s="5"/>
      <c r="K281" s="5"/>
      <c r="L281" s="5">
        <f t="shared" si="28"/>
        <v>0</v>
      </c>
      <c r="M281" s="5">
        <f t="shared" si="31"/>
        <v>0</v>
      </c>
      <c r="N281" s="5"/>
      <c r="O281" s="7"/>
      <c r="P281" s="8"/>
      <c r="Q281" s="5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24">
        <v>46275.0</v>
      </c>
      <c r="B282" s="25" t="s">
        <v>25</v>
      </c>
      <c r="C282" s="25">
        <v>1000.0</v>
      </c>
      <c r="D282" s="26" t="str">
        <f t="shared" si="26"/>
        <v>#DIV/0!</v>
      </c>
      <c r="E282" s="5"/>
      <c r="F282" s="5">
        <f t="shared" si="30"/>
        <v>0</v>
      </c>
      <c r="G282" s="5"/>
      <c r="H282" s="5"/>
      <c r="I282" s="5">
        <f t="shared" si="32"/>
        <v>0</v>
      </c>
      <c r="J282" s="5"/>
      <c r="K282" s="5"/>
      <c r="L282" s="5">
        <f t="shared" si="28"/>
        <v>0</v>
      </c>
      <c r="M282" s="5">
        <f t="shared" si="31"/>
        <v>0</v>
      </c>
      <c r="N282" s="5"/>
      <c r="O282" s="7"/>
      <c r="P282" s="8"/>
      <c r="Q282" s="5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24">
        <v>46276.0</v>
      </c>
      <c r="B283" s="25" t="s">
        <v>27</v>
      </c>
      <c r="C283" s="25">
        <v>1000.0</v>
      </c>
      <c r="D283" s="26" t="str">
        <f t="shared" si="26"/>
        <v>#DIV/0!</v>
      </c>
      <c r="E283" s="5"/>
      <c r="F283" s="5">
        <f t="shared" si="30"/>
        <v>0</v>
      </c>
      <c r="G283" s="5"/>
      <c r="H283" s="5"/>
      <c r="I283" s="5">
        <f t="shared" si="32"/>
        <v>0</v>
      </c>
      <c r="J283" s="5"/>
      <c r="K283" s="5"/>
      <c r="L283" s="5">
        <f t="shared" si="28"/>
        <v>0</v>
      </c>
      <c r="M283" s="5">
        <f t="shared" si="31"/>
        <v>0</v>
      </c>
      <c r="N283" s="5"/>
      <c r="O283" s="7"/>
      <c r="P283" s="8"/>
      <c r="Q283" s="5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24">
        <v>46277.0</v>
      </c>
      <c r="B284" s="25" t="s">
        <v>28</v>
      </c>
      <c r="C284" s="25">
        <v>1000.0</v>
      </c>
      <c r="D284" s="26" t="str">
        <f t="shared" si="26"/>
        <v>#DIV/0!</v>
      </c>
      <c r="E284" s="5"/>
      <c r="F284" s="5">
        <f t="shared" si="30"/>
        <v>0</v>
      </c>
      <c r="G284" s="5"/>
      <c r="H284" s="5"/>
      <c r="I284" s="5">
        <f t="shared" si="32"/>
        <v>0</v>
      </c>
      <c r="J284" s="5"/>
      <c r="K284" s="5"/>
      <c r="L284" s="5">
        <f t="shared" si="28"/>
        <v>0</v>
      </c>
      <c r="M284" s="5">
        <f t="shared" si="31"/>
        <v>0</v>
      </c>
      <c r="N284" s="5"/>
      <c r="O284" s="7"/>
      <c r="P284" s="8"/>
      <c r="Q284" s="5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24">
        <v>46278.0</v>
      </c>
      <c r="B285" s="25" t="s">
        <v>29</v>
      </c>
      <c r="C285" s="25">
        <v>1000.0</v>
      </c>
      <c r="D285" s="26" t="str">
        <f t="shared" si="26"/>
        <v>#DIV/0!</v>
      </c>
      <c r="E285" s="5">
        <v>0.0</v>
      </c>
      <c r="F285" s="5">
        <f t="shared" si="30"/>
        <v>0</v>
      </c>
      <c r="G285" s="5">
        <v>0.0</v>
      </c>
      <c r="H285" s="5">
        <v>0.0</v>
      </c>
      <c r="I285" s="5">
        <f t="shared" si="32"/>
        <v>0</v>
      </c>
      <c r="J285" s="5">
        <v>0.0</v>
      </c>
      <c r="K285" s="5">
        <v>0.0</v>
      </c>
      <c r="L285" s="5">
        <f t="shared" si="28"/>
        <v>0</v>
      </c>
      <c r="M285" s="5">
        <f t="shared" si="31"/>
        <v>0</v>
      </c>
      <c r="N285" s="5">
        <v>0.0</v>
      </c>
      <c r="O285" s="7">
        <v>0.0</v>
      </c>
      <c r="P285" s="8"/>
      <c r="Q285" s="5">
        <v>0.0</v>
      </c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24">
        <v>46279.0</v>
      </c>
      <c r="B286" s="25" t="s">
        <v>30</v>
      </c>
      <c r="C286" s="25">
        <v>1000.0</v>
      </c>
      <c r="D286" s="26" t="str">
        <f t="shared" si="26"/>
        <v>#DIV/0!</v>
      </c>
      <c r="E286" s="5"/>
      <c r="F286" s="5">
        <f t="shared" si="30"/>
        <v>0</v>
      </c>
      <c r="G286" s="5"/>
      <c r="H286" s="5"/>
      <c r="I286" s="5">
        <f t="shared" si="32"/>
        <v>0</v>
      </c>
      <c r="J286" s="5"/>
      <c r="K286" s="5"/>
      <c r="L286" s="5">
        <f t="shared" si="28"/>
        <v>0</v>
      </c>
      <c r="M286" s="5">
        <f t="shared" si="31"/>
        <v>0</v>
      </c>
      <c r="N286" s="5"/>
      <c r="O286" s="7"/>
      <c r="P286" s="8"/>
      <c r="Q286" s="5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24">
        <v>46280.0</v>
      </c>
      <c r="B287" s="25" t="s">
        <v>32</v>
      </c>
      <c r="C287" s="25">
        <v>1000.0</v>
      </c>
      <c r="D287" s="26" t="str">
        <f t="shared" si="26"/>
        <v>#DIV/0!</v>
      </c>
      <c r="E287" s="5"/>
      <c r="F287" s="5">
        <f t="shared" si="30"/>
        <v>0</v>
      </c>
      <c r="G287" s="5"/>
      <c r="H287" s="5"/>
      <c r="I287" s="5">
        <f t="shared" si="32"/>
        <v>0</v>
      </c>
      <c r="J287" s="5"/>
      <c r="K287" s="5"/>
      <c r="L287" s="5">
        <f t="shared" si="28"/>
        <v>0</v>
      </c>
      <c r="M287" s="5">
        <f t="shared" si="31"/>
        <v>0</v>
      </c>
      <c r="N287" s="5"/>
      <c r="O287" s="7"/>
      <c r="P287" s="8"/>
      <c r="Q287" s="5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24">
        <v>46281.0</v>
      </c>
      <c r="B288" s="25" t="s">
        <v>33</v>
      </c>
      <c r="C288" s="25">
        <v>1000.0</v>
      </c>
      <c r="D288" s="26" t="str">
        <f t="shared" si="26"/>
        <v>#DIV/0!</v>
      </c>
      <c r="E288" s="5"/>
      <c r="F288" s="5">
        <f t="shared" si="30"/>
        <v>0</v>
      </c>
      <c r="G288" s="5"/>
      <c r="H288" s="5"/>
      <c r="I288" s="5">
        <f t="shared" si="32"/>
        <v>0</v>
      </c>
      <c r="J288" s="5"/>
      <c r="K288" s="5"/>
      <c r="L288" s="5">
        <f t="shared" si="28"/>
        <v>0</v>
      </c>
      <c r="M288" s="5">
        <f t="shared" si="31"/>
        <v>0</v>
      </c>
      <c r="N288" s="5"/>
      <c r="O288" s="7"/>
      <c r="P288" s="8"/>
      <c r="Q288" s="5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24">
        <v>46282.0</v>
      </c>
      <c r="B289" s="25" t="s">
        <v>25</v>
      </c>
      <c r="C289" s="25">
        <v>1000.0</v>
      </c>
      <c r="D289" s="26" t="str">
        <f t="shared" si="26"/>
        <v>#DIV/0!</v>
      </c>
      <c r="E289" s="5"/>
      <c r="F289" s="5">
        <f t="shared" si="30"/>
        <v>0</v>
      </c>
      <c r="G289" s="5"/>
      <c r="H289" s="5"/>
      <c r="I289" s="5">
        <f t="shared" si="32"/>
        <v>0</v>
      </c>
      <c r="J289" s="5"/>
      <c r="K289" s="5"/>
      <c r="L289" s="5">
        <f t="shared" si="28"/>
        <v>0</v>
      </c>
      <c r="M289" s="5">
        <f t="shared" si="31"/>
        <v>0</v>
      </c>
      <c r="N289" s="5"/>
      <c r="O289" s="7"/>
      <c r="P289" s="8"/>
      <c r="Q289" s="5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24">
        <v>46283.0</v>
      </c>
      <c r="B290" s="25" t="s">
        <v>27</v>
      </c>
      <c r="C290" s="25">
        <v>1000.0</v>
      </c>
      <c r="D290" s="26" t="str">
        <f t="shared" si="26"/>
        <v>#DIV/0!</v>
      </c>
      <c r="E290" s="5"/>
      <c r="F290" s="5">
        <f t="shared" si="30"/>
        <v>0</v>
      </c>
      <c r="G290" s="5"/>
      <c r="H290" s="5"/>
      <c r="I290" s="5">
        <f t="shared" si="32"/>
        <v>0</v>
      </c>
      <c r="J290" s="5"/>
      <c r="K290" s="5"/>
      <c r="L290" s="5">
        <f t="shared" si="28"/>
        <v>0</v>
      </c>
      <c r="M290" s="5">
        <f t="shared" si="31"/>
        <v>0</v>
      </c>
      <c r="N290" s="5"/>
      <c r="O290" s="7"/>
      <c r="P290" s="8"/>
      <c r="Q290" s="5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24">
        <v>46284.0</v>
      </c>
      <c r="B291" s="25" t="s">
        <v>28</v>
      </c>
      <c r="C291" s="25">
        <v>1000.0</v>
      </c>
      <c r="D291" s="26" t="str">
        <f t="shared" si="26"/>
        <v>#DIV/0!</v>
      </c>
      <c r="E291" s="5"/>
      <c r="F291" s="5">
        <f t="shared" si="30"/>
        <v>0</v>
      </c>
      <c r="G291" s="5"/>
      <c r="H291" s="5"/>
      <c r="I291" s="5">
        <f t="shared" si="32"/>
        <v>0</v>
      </c>
      <c r="J291" s="5"/>
      <c r="K291" s="5"/>
      <c r="L291" s="5">
        <f t="shared" si="28"/>
        <v>0</v>
      </c>
      <c r="M291" s="5">
        <f t="shared" si="31"/>
        <v>0</v>
      </c>
      <c r="N291" s="5"/>
      <c r="O291" s="7"/>
      <c r="P291" s="8"/>
      <c r="Q291" s="5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24">
        <v>46285.0</v>
      </c>
      <c r="B292" s="25" t="s">
        <v>29</v>
      </c>
      <c r="C292" s="25">
        <v>1000.0</v>
      </c>
      <c r="D292" s="26" t="str">
        <f t="shared" si="26"/>
        <v>#DIV/0!</v>
      </c>
      <c r="E292" s="5">
        <v>0.0</v>
      </c>
      <c r="F292" s="5">
        <f t="shared" si="30"/>
        <v>0</v>
      </c>
      <c r="G292" s="5">
        <v>0.0</v>
      </c>
      <c r="H292" s="5">
        <v>0.0</v>
      </c>
      <c r="I292" s="5">
        <f t="shared" si="32"/>
        <v>0</v>
      </c>
      <c r="J292" s="5">
        <v>0.0</v>
      </c>
      <c r="K292" s="5">
        <v>0.0</v>
      </c>
      <c r="L292" s="5">
        <f t="shared" si="28"/>
        <v>0</v>
      </c>
      <c r="M292" s="5">
        <f t="shared" si="31"/>
        <v>0</v>
      </c>
      <c r="N292" s="5">
        <v>0.0</v>
      </c>
      <c r="O292" s="7">
        <v>0.0</v>
      </c>
      <c r="P292" s="8"/>
      <c r="Q292" s="5">
        <v>0.0</v>
      </c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24">
        <v>46286.0</v>
      </c>
      <c r="B293" s="25" t="s">
        <v>30</v>
      </c>
      <c r="C293" s="25">
        <v>1000.0</v>
      </c>
      <c r="D293" s="26" t="str">
        <f t="shared" si="26"/>
        <v>#DIV/0!</v>
      </c>
      <c r="E293" s="5"/>
      <c r="F293" s="5">
        <f t="shared" si="30"/>
        <v>0</v>
      </c>
      <c r="G293" s="5"/>
      <c r="H293" s="5"/>
      <c r="I293" s="5">
        <f t="shared" si="32"/>
        <v>0</v>
      </c>
      <c r="J293" s="5"/>
      <c r="K293" s="5"/>
      <c r="L293" s="5">
        <f t="shared" si="28"/>
        <v>0</v>
      </c>
      <c r="M293" s="5">
        <f t="shared" si="31"/>
        <v>0</v>
      </c>
      <c r="N293" s="5"/>
      <c r="O293" s="7"/>
      <c r="P293" s="8"/>
      <c r="Q293" s="5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24">
        <v>46287.0</v>
      </c>
      <c r="B294" s="25" t="s">
        <v>32</v>
      </c>
      <c r="C294" s="25">
        <v>1000.0</v>
      </c>
      <c r="D294" s="26" t="str">
        <f t="shared" si="26"/>
        <v>#DIV/0!</v>
      </c>
      <c r="E294" s="5"/>
      <c r="F294" s="5">
        <f t="shared" si="30"/>
        <v>0</v>
      </c>
      <c r="G294" s="5"/>
      <c r="H294" s="5"/>
      <c r="I294" s="5">
        <f t="shared" si="32"/>
        <v>0</v>
      </c>
      <c r="J294" s="5"/>
      <c r="K294" s="5"/>
      <c r="L294" s="5">
        <f t="shared" si="28"/>
        <v>0</v>
      </c>
      <c r="M294" s="5">
        <f t="shared" si="31"/>
        <v>0</v>
      </c>
      <c r="N294" s="5"/>
      <c r="O294" s="7"/>
      <c r="P294" s="8"/>
      <c r="Q294" s="5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24">
        <v>46288.0</v>
      </c>
      <c r="B295" s="25" t="s">
        <v>33</v>
      </c>
      <c r="C295" s="25">
        <v>1000.0</v>
      </c>
      <c r="D295" s="26" t="str">
        <f t="shared" si="26"/>
        <v>#DIV/0!</v>
      </c>
      <c r="E295" s="5"/>
      <c r="F295" s="5">
        <f t="shared" si="30"/>
        <v>0</v>
      </c>
      <c r="G295" s="5"/>
      <c r="H295" s="5"/>
      <c r="I295" s="5">
        <f t="shared" si="32"/>
        <v>0</v>
      </c>
      <c r="J295" s="5"/>
      <c r="K295" s="5"/>
      <c r="L295" s="5">
        <f t="shared" si="28"/>
        <v>0</v>
      </c>
      <c r="M295" s="5">
        <f t="shared" si="31"/>
        <v>0</v>
      </c>
      <c r="N295" s="5"/>
      <c r="O295" s="7"/>
      <c r="P295" s="8"/>
      <c r="Q295" s="5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24">
        <v>46289.0</v>
      </c>
      <c r="B296" s="25" t="s">
        <v>25</v>
      </c>
      <c r="C296" s="25">
        <v>1000.0</v>
      </c>
      <c r="D296" s="26" t="str">
        <f t="shared" si="26"/>
        <v>#DIV/0!</v>
      </c>
      <c r="E296" s="5"/>
      <c r="F296" s="5">
        <f t="shared" si="30"/>
        <v>0</v>
      </c>
      <c r="G296" s="5"/>
      <c r="H296" s="5"/>
      <c r="I296" s="5">
        <f t="shared" si="32"/>
        <v>0</v>
      </c>
      <c r="J296" s="5"/>
      <c r="K296" s="5"/>
      <c r="L296" s="5">
        <f t="shared" si="28"/>
        <v>0</v>
      </c>
      <c r="M296" s="5">
        <f t="shared" si="31"/>
        <v>0</v>
      </c>
      <c r="N296" s="5"/>
      <c r="O296" s="7"/>
      <c r="P296" s="8"/>
      <c r="Q296" s="5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24">
        <v>46290.0</v>
      </c>
      <c r="B297" s="25" t="s">
        <v>27</v>
      </c>
      <c r="C297" s="25">
        <v>1000.0</v>
      </c>
      <c r="D297" s="26" t="str">
        <f t="shared" si="26"/>
        <v>#DIV/0!</v>
      </c>
      <c r="E297" s="5"/>
      <c r="F297" s="5">
        <f t="shared" si="30"/>
        <v>0</v>
      </c>
      <c r="G297" s="5"/>
      <c r="H297" s="5"/>
      <c r="I297" s="5">
        <f t="shared" si="32"/>
        <v>0</v>
      </c>
      <c r="J297" s="5"/>
      <c r="K297" s="5"/>
      <c r="L297" s="5">
        <f t="shared" si="28"/>
        <v>0</v>
      </c>
      <c r="M297" s="5">
        <f t="shared" si="31"/>
        <v>0</v>
      </c>
      <c r="N297" s="5"/>
      <c r="O297" s="7"/>
      <c r="P297" s="8"/>
      <c r="Q297" s="5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24">
        <v>46291.0</v>
      </c>
      <c r="B298" s="25" t="s">
        <v>28</v>
      </c>
      <c r="C298" s="25">
        <v>1000.0</v>
      </c>
      <c r="D298" s="26" t="str">
        <f t="shared" si="26"/>
        <v>#DIV/0!</v>
      </c>
      <c r="E298" s="5"/>
      <c r="F298" s="5">
        <f t="shared" si="30"/>
        <v>0</v>
      </c>
      <c r="G298" s="5"/>
      <c r="H298" s="5"/>
      <c r="I298" s="5">
        <f t="shared" si="32"/>
        <v>0</v>
      </c>
      <c r="J298" s="5"/>
      <c r="K298" s="5"/>
      <c r="L298" s="5">
        <f t="shared" si="28"/>
        <v>0</v>
      </c>
      <c r="M298" s="5">
        <f t="shared" si="31"/>
        <v>0</v>
      </c>
      <c r="N298" s="5"/>
      <c r="O298" s="7"/>
      <c r="P298" s="8"/>
      <c r="Q298" s="5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24">
        <v>46292.0</v>
      </c>
      <c r="B299" s="25" t="s">
        <v>29</v>
      </c>
      <c r="C299" s="25">
        <v>1000.0</v>
      </c>
      <c r="D299" s="26" t="str">
        <f t="shared" si="26"/>
        <v>#DIV/0!</v>
      </c>
      <c r="E299" s="5">
        <v>0.0</v>
      </c>
      <c r="F299" s="5">
        <f t="shared" si="30"/>
        <v>0</v>
      </c>
      <c r="G299" s="5">
        <v>0.0</v>
      </c>
      <c r="H299" s="5">
        <v>0.0</v>
      </c>
      <c r="I299" s="5">
        <f t="shared" si="32"/>
        <v>0</v>
      </c>
      <c r="J299" s="5">
        <v>0.0</v>
      </c>
      <c r="K299" s="5">
        <v>0.0</v>
      </c>
      <c r="L299" s="5">
        <f t="shared" si="28"/>
        <v>0</v>
      </c>
      <c r="M299" s="5">
        <f t="shared" si="31"/>
        <v>0</v>
      </c>
      <c r="N299" s="5">
        <v>0.0</v>
      </c>
      <c r="O299" s="7">
        <v>0.0</v>
      </c>
      <c r="P299" s="8"/>
      <c r="Q299" s="5">
        <v>0.0</v>
      </c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24">
        <v>46293.0</v>
      </c>
      <c r="B300" s="25" t="s">
        <v>30</v>
      </c>
      <c r="C300" s="25">
        <v>1000.0</v>
      </c>
      <c r="D300" s="26" t="str">
        <f t="shared" si="26"/>
        <v>#DIV/0!</v>
      </c>
      <c r="E300" s="5"/>
      <c r="F300" s="5">
        <f t="shared" si="30"/>
        <v>0</v>
      </c>
      <c r="G300" s="5"/>
      <c r="H300" s="5"/>
      <c r="I300" s="5">
        <f t="shared" si="32"/>
        <v>0</v>
      </c>
      <c r="J300" s="5"/>
      <c r="K300" s="5"/>
      <c r="L300" s="5">
        <f t="shared" si="28"/>
        <v>0</v>
      </c>
      <c r="M300" s="5">
        <f t="shared" si="31"/>
        <v>0</v>
      </c>
      <c r="N300" s="5"/>
      <c r="O300" s="7"/>
      <c r="P300" s="8"/>
      <c r="Q300" s="5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24">
        <v>46294.0</v>
      </c>
      <c r="B301" s="25" t="s">
        <v>32</v>
      </c>
      <c r="C301" s="25">
        <v>1000.0</v>
      </c>
      <c r="D301" s="26" t="str">
        <f t="shared" si="26"/>
        <v>#DIV/0!</v>
      </c>
      <c r="E301" s="5"/>
      <c r="F301" s="5">
        <f t="shared" si="30"/>
        <v>0</v>
      </c>
      <c r="G301" s="5"/>
      <c r="H301" s="5"/>
      <c r="I301" s="5">
        <f t="shared" si="32"/>
        <v>0</v>
      </c>
      <c r="J301" s="5"/>
      <c r="K301" s="5"/>
      <c r="L301" s="5">
        <f t="shared" si="28"/>
        <v>0</v>
      </c>
      <c r="M301" s="5">
        <f t="shared" si="31"/>
        <v>0</v>
      </c>
      <c r="N301" s="5"/>
      <c r="O301" s="7"/>
      <c r="P301" s="8"/>
      <c r="Q301" s="5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24">
        <v>46295.0</v>
      </c>
      <c r="B302" s="25" t="s">
        <v>33</v>
      </c>
      <c r="C302" s="25">
        <v>1000.0</v>
      </c>
      <c r="D302" s="26" t="str">
        <f t="shared" si="26"/>
        <v>#DIV/0!</v>
      </c>
      <c r="E302" s="5"/>
      <c r="F302" s="5">
        <f t="shared" si="30"/>
        <v>0</v>
      </c>
      <c r="G302" s="5"/>
      <c r="H302" s="5"/>
      <c r="I302" s="5">
        <f t="shared" si="32"/>
        <v>0</v>
      </c>
      <c r="J302" s="5"/>
      <c r="K302" s="5"/>
      <c r="L302" s="5">
        <f t="shared" si="28"/>
        <v>0</v>
      </c>
      <c r="M302" s="5">
        <f t="shared" si="31"/>
        <v>0</v>
      </c>
      <c r="N302" s="5"/>
      <c r="O302" s="7"/>
      <c r="P302" s="8"/>
      <c r="Q302" s="5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24">
        <v>46296.0</v>
      </c>
      <c r="B303" s="25" t="s">
        <v>25</v>
      </c>
      <c r="C303" s="25">
        <v>1000.0</v>
      </c>
      <c r="D303" s="26" t="str">
        <f t="shared" si="26"/>
        <v>#DIV/0!</v>
      </c>
      <c r="E303" s="5"/>
      <c r="F303" s="5">
        <f t="shared" si="30"/>
        <v>0</v>
      </c>
      <c r="G303" s="5"/>
      <c r="H303" s="5"/>
      <c r="I303" s="5">
        <f t="shared" si="32"/>
        <v>0</v>
      </c>
      <c r="J303" s="5"/>
      <c r="K303" s="5"/>
      <c r="L303" s="5">
        <f t="shared" si="28"/>
        <v>0</v>
      </c>
      <c r="M303" s="5">
        <f t="shared" si="31"/>
        <v>0</v>
      </c>
      <c r="N303" s="5"/>
      <c r="O303" s="7"/>
      <c r="P303" s="8"/>
      <c r="Q303" s="5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24">
        <v>46297.0</v>
      </c>
      <c r="B304" s="25" t="s">
        <v>27</v>
      </c>
      <c r="C304" s="25">
        <v>1000.0</v>
      </c>
      <c r="D304" s="26" t="str">
        <f t="shared" si="26"/>
        <v>#DIV/0!</v>
      </c>
      <c r="E304" s="5"/>
      <c r="F304" s="5">
        <f t="shared" si="30"/>
        <v>0</v>
      </c>
      <c r="G304" s="5"/>
      <c r="H304" s="5"/>
      <c r="I304" s="5">
        <f t="shared" si="32"/>
        <v>0</v>
      </c>
      <c r="J304" s="5"/>
      <c r="K304" s="5"/>
      <c r="L304" s="5">
        <f t="shared" si="28"/>
        <v>0</v>
      </c>
      <c r="M304" s="5">
        <f t="shared" si="31"/>
        <v>0</v>
      </c>
      <c r="N304" s="5"/>
      <c r="O304" s="7"/>
      <c r="P304" s="8"/>
      <c r="Q304" s="5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24">
        <v>46298.0</v>
      </c>
      <c r="B305" s="25" t="s">
        <v>28</v>
      </c>
      <c r="C305" s="25">
        <v>1000.0</v>
      </c>
      <c r="D305" s="26" t="str">
        <f t="shared" si="26"/>
        <v>#DIV/0!</v>
      </c>
      <c r="E305" s="5"/>
      <c r="F305" s="5">
        <f t="shared" si="30"/>
        <v>0</v>
      </c>
      <c r="G305" s="5"/>
      <c r="H305" s="5"/>
      <c r="I305" s="5">
        <f t="shared" si="32"/>
        <v>0</v>
      </c>
      <c r="J305" s="5"/>
      <c r="K305" s="5"/>
      <c r="L305" s="5">
        <f t="shared" si="28"/>
        <v>0</v>
      </c>
      <c r="M305" s="5">
        <f t="shared" si="31"/>
        <v>0</v>
      </c>
      <c r="N305" s="5"/>
      <c r="O305" s="7"/>
      <c r="P305" s="8"/>
      <c r="Q305" s="5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24">
        <v>46299.0</v>
      </c>
      <c r="B306" s="25" t="s">
        <v>29</v>
      </c>
      <c r="C306" s="25">
        <v>1000.0</v>
      </c>
      <c r="D306" s="26" t="str">
        <f t="shared" si="26"/>
        <v>#DIV/0!</v>
      </c>
      <c r="E306" s="5">
        <v>0.0</v>
      </c>
      <c r="F306" s="5">
        <f t="shared" si="30"/>
        <v>0</v>
      </c>
      <c r="G306" s="5">
        <v>0.0</v>
      </c>
      <c r="H306" s="5">
        <v>0.0</v>
      </c>
      <c r="I306" s="5">
        <f t="shared" si="32"/>
        <v>0</v>
      </c>
      <c r="J306" s="5">
        <v>0.0</v>
      </c>
      <c r="K306" s="5">
        <v>0.0</v>
      </c>
      <c r="L306" s="5">
        <f t="shared" si="28"/>
        <v>0</v>
      </c>
      <c r="M306" s="5">
        <f t="shared" si="31"/>
        <v>0</v>
      </c>
      <c r="N306" s="5">
        <v>0.0</v>
      </c>
      <c r="O306" s="7">
        <v>0.0</v>
      </c>
      <c r="P306" s="8"/>
      <c r="Q306" s="5">
        <v>0.0</v>
      </c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24">
        <v>46300.0</v>
      </c>
      <c r="B307" s="25" t="s">
        <v>30</v>
      </c>
      <c r="C307" s="25">
        <v>1000.0</v>
      </c>
      <c r="D307" s="26" t="str">
        <f t="shared" si="26"/>
        <v>#DIV/0!</v>
      </c>
      <c r="E307" s="5"/>
      <c r="F307" s="5">
        <f t="shared" si="30"/>
        <v>0</v>
      </c>
      <c r="G307" s="5"/>
      <c r="H307" s="5"/>
      <c r="I307" s="5">
        <f t="shared" si="32"/>
        <v>0</v>
      </c>
      <c r="J307" s="5"/>
      <c r="K307" s="5"/>
      <c r="L307" s="5">
        <f t="shared" si="28"/>
        <v>0</v>
      </c>
      <c r="M307" s="5">
        <f t="shared" si="31"/>
        <v>0</v>
      </c>
      <c r="N307" s="5"/>
      <c r="O307" s="7"/>
      <c r="P307" s="8"/>
      <c r="Q307" s="5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24">
        <v>46301.0</v>
      </c>
      <c r="B308" s="25" t="s">
        <v>32</v>
      </c>
      <c r="C308" s="25">
        <v>1000.0</v>
      </c>
      <c r="D308" s="26" t="str">
        <f t="shared" si="26"/>
        <v>#DIV/0!</v>
      </c>
      <c r="E308" s="5"/>
      <c r="F308" s="5">
        <f t="shared" si="30"/>
        <v>0</v>
      </c>
      <c r="G308" s="5"/>
      <c r="H308" s="5"/>
      <c r="I308" s="5">
        <f t="shared" si="32"/>
        <v>0</v>
      </c>
      <c r="J308" s="5"/>
      <c r="K308" s="5"/>
      <c r="L308" s="5">
        <f t="shared" si="28"/>
        <v>0</v>
      </c>
      <c r="M308" s="5">
        <f t="shared" si="31"/>
        <v>0</v>
      </c>
      <c r="N308" s="5"/>
      <c r="O308" s="7"/>
      <c r="P308" s="8"/>
      <c r="Q308" s="5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24">
        <v>46302.0</v>
      </c>
      <c r="B309" s="25" t="s">
        <v>33</v>
      </c>
      <c r="C309" s="25">
        <v>1000.0</v>
      </c>
      <c r="D309" s="26" t="str">
        <f t="shared" si="26"/>
        <v>#DIV/0!</v>
      </c>
      <c r="E309" s="5"/>
      <c r="F309" s="5">
        <f t="shared" si="30"/>
        <v>0</v>
      </c>
      <c r="G309" s="5"/>
      <c r="H309" s="5"/>
      <c r="I309" s="5">
        <f t="shared" si="32"/>
        <v>0</v>
      </c>
      <c r="J309" s="5"/>
      <c r="K309" s="5"/>
      <c r="L309" s="5">
        <f t="shared" si="28"/>
        <v>0</v>
      </c>
      <c r="M309" s="5">
        <f t="shared" si="31"/>
        <v>0</v>
      </c>
      <c r="N309" s="5"/>
      <c r="O309" s="7"/>
      <c r="P309" s="8"/>
      <c r="Q309" s="5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24">
        <v>46303.0</v>
      </c>
      <c r="B310" s="25" t="s">
        <v>25</v>
      </c>
      <c r="C310" s="25">
        <v>1000.0</v>
      </c>
      <c r="D310" s="26" t="str">
        <f t="shared" si="26"/>
        <v>#DIV/0!</v>
      </c>
      <c r="E310" s="5"/>
      <c r="F310" s="5">
        <f t="shared" si="30"/>
        <v>0</v>
      </c>
      <c r="G310" s="5"/>
      <c r="H310" s="5"/>
      <c r="I310" s="5">
        <f t="shared" si="32"/>
        <v>0</v>
      </c>
      <c r="J310" s="5"/>
      <c r="K310" s="5"/>
      <c r="L310" s="5">
        <f t="shared" si="28"/>
        <v>0</v>
      </c>
      <c r="M310" s="5">
        <f t="shared" si="31"/>
        <v>0</v>
      </c>
      <c r="N310" s="5"/>
      <c r="O310" s="7"/>
      <c r="P310" s="8"/>
      <c r="Q310" s="5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24">
        <v>46304.0</v>
      </c>
      <c r="B311" s="25" t="s">
        <v>27</v>
      </c>
      <c r="C311" s="25">
        <v>1000.0</v>
      </c>
      <c r="D311" s="26" t="str">
        <f t="shared" si="26"/>
        <v>#DIV/0!</v>
      </c>
      <c r="E311" s="5"/>
      <c r="F311" s="5">
        <f t="shared" si="30"/>
        <v>0</v>
      </c>
      <c r="G311" s="5"/>
      <c r="H311" s="5"/>
      <c r="I311" s="5">
        <f t="shared" si="32"/>
        <v>0</v>
      </c>
      <c r="J311" s="5"/>
      <c r="K311" s="5"/>
      <c r="L311" s="5">
        <f t="shared" si="28"/>
        <v>0</v>
      </c>
      <c r="M311" s="5">
        <f t="shared" si="31"/>
        <v>0</v>
      </c>
      <c r="N311" s="5"/>
      <c r="O311" s="7"/>
      <c r="P311" s="8"/>
      <c r="Q311" s="5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24">
        <v>46305.0</v>
      </c>
      <c r="B312" s="25" t="s">
        <v>28</v>
      </c>
      <c r="C312" s="25">
        <v>1000.0</v>
      </c>
      <c r="D312" s="26" t="str">
        <f t="shared" si="26"/>
        <v>#DIV/0!</v>
      </c>
      <c r="E312" s="5"/>
      <c r="F312" s="5">
        <f t="shared" si="30"/>
        <v>0</v>
      </c>
      <c r="G312" s="5"/>
      <c r="H312" s="5"/>
      <c r="I312" s="5">
        <f t="shared" si="32"/>
        <v>0</v>
      </c>
      <c r="J312" s="5"/>
      <c r="K312" s="5"/>
      <c r="L312" s="5">
        <f t="shared" si="28"/>
        <v>0</v>
      </c>
      <c r="M312" s="5">
        <f t="shared" si="31"/>
        <v>0</v>
      </c>
      <c r="N312" s="5"/>
      <c r="O312" s="7"/>
      <c r="P312" s="8"/>
      <c r="Q312" s="5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24">
        <v>46306.0</v>
      </c>
      <c r="B313" s="25" t="s">
        <v>29</v>
      </c>
      <c r="C313" s="25">
        <v>1000.0</v>
      </c>
      <c r="D313" s="26" t="str">
        <f t="shared" si="26"/>
        <v>#DIV/0!</v>
      </c>
      <c r="E313" s="5">
        <v>0.0</v>
      </c>
      <c r="F313" s="5">
        <f t="shared" si="30"/>
        <v>0</v>
      </c>
      <c r="G313" s="5">
        <v>0.0</v>
      </c>
      <c r="H313" s="5">
        <v>0.0</v>
      </c>
      <c r="I313" s="5">
        <f t="shared" si="32"/>
        <v>0</v>
      </c>
      <c r="J313" s="5">
        <v>0.0</v>
      </c>
      <c r="K313" s="5">
        <v>0.0</v>
      </c>
      <c r="L313" s="5">
        <f t="shared" si="28"/>
        <v>0</v>
      </c>
      <c r="M313" s="5">
        <f t="shared" si="31"/>
        <v>0</v>
      </c>
      <c r="N313" s="5">
        <v>0.0</v>
      </c>
      <c r="O313" s="7">
        <v>0.0</v>
      </c>
      <c r="P313" s="8"/>
      <c r="Q313" s="5">
        <v>0.0</v>
      </c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24">
        <v>46307.0</v>
      </c>
      <c r="B314" s="25" t="s">
        <v>30</v>
      </c>
      <c r="C314" s="25">
        <v>1000.0</v>
      </c>
      <c r="D314" s="26" t="str">
        <f t="shared" si="26"/>
        <v>#DIV/0!</v>
      </c>
      <c r="E314" s="5"/>
      <c r="F314" s="5">
        <f t="shared" si="30"/>
        <v>0</v>
      </c>
      <c r="G314" s="5"/>
      <c r="H314" s="5"/>
      <c r="I314" s="5">
        <f t="shared" si="32"/>
        <v>0</v>
      </c>
      <c r="J314" s="5"/>
      <c r="K314" s="5"/>
      <c r="L314" s="5">
        <f t="shared" si="28"/>
        <v>0</v>
      </c>
      <c r="M314" s="5">
        <f t="shared" si="31"/>
        <v>0</v>
      </c>
      <c r="N314" s="5"/>
      <c r="O314" s="7"/>
      <c r="P314" s="8"/>
      <c r="Q314" s="5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24">
        <v>46308.0</v>
      </c>
      <c r="B315" s="25" t="s">
        <v>32</v>
      </c>
      <c r="C315" s="25">
        <v>1000.0</v>
      </c>
      <c r="D315" s="26" t="str">
        <f t="shared" si="26"/>
        <v>#DIV/0!</v>
      </c>
      <c r="E315" s="5"/>
      <c r="F315" s="5">
        <f t="shared" si="30"/>
        <v>0</v>
      </c>
      <c r="G315" s="5"/>
      <c r="H315" s="5"/>
      <c r="I315" s="5">
        <f t="shared" si="32"/>
        <v>0</v>
      </c>
      <c r="J315" s="5"/>
      <c r="K315" s="5"/>
      <c r="L315" s="5">
        <f t="shared" si="28"/>
        <v>0</v>
      </c>
      <c r="M315" s="5">
        <f t="shared" si="31"/>
        <v>0</v>
      </c>
      <c r="N315" s="5"/>
      <c r="O315" s="7"/>
      <c r="P315" s="8"/>
      <c r="Q315" s="5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24">
        <v>46309.0</v>
      </c>
      <c r="B316" s="25" t="s">
        <v>33</v>
      </c>
      <c r="C316" s="25">
        <v>1000.0</v>
      </c>
      <c r="D316" s="26" t="str">
        <f t="shared" si="26"/>
        <v>#DIV/0!</v>
      </c>
      <c r="E316" s="5"/>
      <c r="F316" s="5">
        <f t="shared" si="30"/>
        <v>0</v>
      </c>
      <c r="G316" s="5"/>
      <c r="H316" s="5"/>
      <c r="I316" s="5">
        <f t="shared" si="32"/>
        <v>0</v>
      </c>
      <c r="J316" s="5"/>
      <c r="K316" s="5"/>
      <c r="L316" s="5">
        <f t="shared" si="28"/>
        <v>0</v>
      </c>
      <c r="M316" s="5">
        <f t="shared" si="31"/>
        <v>0</v>
      </c>
      <c r="N316" s="5"/>
      <c r="O316" s="7"/>
      <c r="P316" s="8"/>
      <c r="Q316" s="5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24">
        <v>46310.0</v>
      </c>
      <c r="B317" s="25" t="s">
        <v>25</v>
      </c>
      <c r="C317" s="25">
        <v>1000.0</v>
      </c>
      <c r="D317" s="26" t="str">
        <f t="shared" si="26"/>
        <v>#DIV/0!</v>
      </c>
      <c r="E317" s="5"/>
      <c r="F317" s="5">
        <f t="shared" si="30"/>
        <v>0</v>
      </c>
      <c r="G317" s="5"/>
      <c r="H317" s="5"/>
      <c r="I317" s="5">
        <f t="shared" si="32"/>
        <v>0</v>
      </c>
      <c r="J317" s="5"/>
      <c r="K317" s="5"/>
      <c r="L317" s="5">
        <f t="shared" si="28"/>
        <v>0</v>
      </c>
      <c r="M317" s="5">
        <f t="shared" si="31"/>
        <v>0</v>
      </c>
      <c r="N317" s="5"/>
      <c r="O317" s="7"/>
      <c r="P317" s="8"/>
      <c r="Q317" s="5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24">
        <v>46311.0</v>
      </c>
      <c r="B318" s="25" t="s">
        <v>27</v>
      </c>
      <c r="C318" s="25">
        <v>1000.0</v>
      </c>
      <c r="D318" s="26" t="str">
        <f t="shared" si="26"/>
        <v>#DIV/0!</v>
      </c>
      <c r="E318" s="5"/>
      <c r="F318" s="5">
        <f t="shared" si="30"/>
        <v>0</v>
      </c>
      <c r="G318" s="5"/>
      <c r="H318" s="5"/>
      <c r="I318" s="5">
        <f t="shared" si="32"/>
        <v>0</v>
      </c>
      <c r="J318" s="5"/>
      <c r="K318" s="5"/>
      <c r="L318" s="5">
        <f t="shared" si="28"/>
        <v>0</v>
      </c>
      <c r="M318" s="5">
        <f t="shared" si="31"/>
        <v>0</v>
      </c>
      <c r="N318" s="5"/>
      <c r="O318" s="7"/>
      <c r="P318" s="8"/>
      <c r="Q318" s="5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24">
        <v>46312.0</v>
      </c>
      <c r="B319" s="25" t="s">
        <v>28</v>
      </c>
      <c r="C319" s="25">
        <v>1000.0</v>
      </c>
      <c r="D319" s="26" t="str">
        <f t="shared" si="26"/>
        <v>#DIV/0!</v>
      </c>
      <c r="E319" s="5"/>
      <c r="F319" s="5">
        <f t="shared" si="30"/>
        <v>0</v>
      </c>
      <c r="G319" s="5"/>
      <c r="H319" s="5"/>
      <c r="I319" s="5">
        <f t="shared" si="32"/>
        <v>0</v>
      </c>
      <c r="J319" s="5"/>
      <c r="K319" s="5"/>
      <c r="L319" s="5">
        <f t="shared" si="28"/>
        <v>0</v>
      </c>
      <c r="M319" s="5">
        <f t="shared" si="31"/>
        <v>0</v>
      </c>
      <c r="N319" s="5"/>
      <c r="O319" s="7"/>
      <c r="P319" s="8"/>
      <c r="Q319" s="5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24">
        <v>46313.0</v>
      </c>
      <c r="B320" s="25" t="s">
        <v>29</v>
      </c>
      <c r="C320" s="25">
        <v>1000.0</v>
      </c>
      <c r="D320" s="26" t="str">
        <f t="shared" si="26"/>
        <v>#DIV/0!</v>
      </c>
      <c r="E320" s="5">
        <v>0.0</v>
      </c>
      <c r="F320" s="5">
        <f t="shared" si="30"/>
        <v>0</v>
      </c>
      <c r="G320" s="5">
        <v>0.0</v>
      </c>
      <c r="H320" s="5">
        <v>0.0</v>
      </c>
      <c r="I320" s="5">
        <f t="shared" si="32"/>
        <v>0</v>
      </c>
      <c r="J320" s="5">
        <v>0.0</v>
      </c>
      <c r="K320" s="5">
        <v>0.0</v>
      </c>
      <c r="L320" s="5">
        <f t="shared" si="28"/>
        <v>0</v>
      </c>
      <c r="M320" s="5">
        <f t="shared" si="31"/>
        <v>0</v>
      </c>
      <c r="N320" s="5">
        <v>0.0</v>
      </c>
      <c r="O320" s="7">
        <v>0.0</v>
      </c>
      <c r="P320" s="8"/>
      <c r="Q320" s="5">
        <v>0.0</v>
      </c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24">
        <v>46314.0</v>
      </c>
      <c r="B321" s="25" t="s">
        <v>30</v>
      </c>
      <c r="C321" s="25">
        <v>1000.0</v>
      </c>
      <c r="D321" s="26" t="str">
        <f t="shared" si="26"/>
        <v>#DIV/0!</v>
      </c>
      <c r="E321" s="5"/>
      <c r="F321" s="5">
        <f t="shared" si="30"/>
        <v>0</v>
      </c>
      <c r="G321" s="5"/>
      <c r="H321" s="5"/>
      <c r="I321" s="5">
        <f t="shared" si="32"/>
        <v>0</v>
      </c>
      <c r="J321" s="5"/>
      <c r="K321" s="5"/>
      <c r="L321" s="5">
        <f t="shared" si="28"/>
        <v>0</v>
      </c>
      <c r="M321" s="5">
        <f t="shared" si="31"/>
        <v>0</v>
      </c>
      <c r="N321" s="5"/>
      <c r="O321" s="7"/>
      <c r="P321" s="8"/>
      <c r="Q321" s="5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24">
        <v>46315.0</v>
      </c>
      <c r="B322" s="25" t="s">
        <v>32</v>
      </c>
      <c r="C322" s="25">
        <v>1000.0</v>
      </c>
      <c r="D322" s="26" t="str">
        <f t="shared" si="26"/>
        <v>#DIV/0!</v>
      </c>
      <c r="E322" s="5"/>
      <c r="F322" s="5">
        <f t="shared" si="30"/>
        <v>0</v>
      </c>
      <c r="G322" s="5"/>
      <c r="H322" s="5"/>
      <c r="I322" s="5">
        <f t="shared" si="32"/>
        <v>0</v>
      </c>
      <c r="J322" s="5"/>
      <c r="K322" s="5"/>
      <c r="L322" s="5">
        <f t="shared" si="28"/>
        <v>0</v>
      </c>
      <c r="M322" s="5">
        <f t="shared" si="31"/>
        <v>0</v>
      </c>
      <c r="N322" s="5"/>
      <c r="O322" s="7"/>
      <c r="P322" s="8"/>
      <c r="Q322" s="5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24">
        <v>46316.0</v>
      </c>
      <c r="B323" s="25" t="s">
        <v>33</v>
      </c>
      <c r="C323" s="25">
        <v>1000.0</v>
      </c>
      <c r="D323" s="26" t="str">
        <f t="shared" si="26"/>
        <v>#DIV/0!</v>
      </c>
      <c r="E323" s="5"/>
      <c r="F323" s="5">
        <f t="shared" si="30"/>
        <v>0</v>
      </c>
      <c r="G323" s="5"/>
      <c r="H323" s="5"/>
      <c r="I323" s="5">
        <f t="shared" si="32"/>
        <v>0</v>
      </c>
      <c r="J323" s="5"/>
      <c r="K323" s="5"/>
      <c r="L323" s="5">
        <f t="shared" si="28"/>
        <v>0</v>
      </c>
      <c r="M323" s="5">
        <f t="shared" si="31"/>
        <v>0</v>
      </c>
      <c r="N323" s="5"/>
      <c r="O323" s="7"/>
      <c r="P323" s="8"/>
      <c r="Q323" s="5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24">
        <v>46317.0</v>
      </c>
      <c r="B324" s="25" t="s">
        <v>25</v>
      </c>
      <c r="C324" s="25">
        <v>1000.0</v>
      </c>
      <c r="D324" s="26" t="str">
        <f t="shared" si="26"/>
        <v>#DIV/0!</v>
      </c>
      <c r="E324" s="5"/>
      <c r="F324" s="5">
        <f t="shared" si="30"/>
        <v>0</v>
      </c>
      <c r="G324" s="5"/>
      <c r="H324" s="5"/>
      <c r="I324" s="5">
        <f t="shared" si="32"/>
        <v>0</v>
      </c>
      <c r="J324" s="5"/>
      <c r="K324" s="5"/>
      <c r="L324" s="5">
        <f t="shared" si="28"/>
        <v>0</v>
      </c>
      <c r="M324" s="5">
        <f t="shared" si="31"/>
        <v>0</v>
      </c>
      <c r="N324" s="5"/>
      <c r="O324" s="7"/>
      <c r="P324" s="8"/>
      <c r="Q324" s="5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24">
        <v>46318.0</v>
      </c>
      <c r="B325" s="25" t="s">
        <v>27</v>
      </c>
      <c r="C325" s="25">
        <v>1000.0</v>
      </c>
      <c r="D325" s="26" t="str">
        <f t="shared" si="26"/>
        <v>#DIV/0!</v>
      </c>
      <c r="E325" s="5"/>
      <c r="F325" s="5">
        <f t="shared" si="30"/>
        <v>0</v>
      </c>
      <c r="G325" s="5"/>
      <c r="H325" s="5"/>
      <c r="I325" s="5">
        <f t="shared" si="32"/>
        <v>0</v>
      </c>
      <c r="J325" s="5"/>
      <c r="K325" s="5"/>
      <c r="L325" s="5">
        <f t="shared" si="28"/>
        <v>0</v>
      </c>
      <c r="M325" s="5">
        <f t="shared" si="31"/>
        <v>0</v>
      </c>
      <c r="N325" s="5"/>
      <c r="O325" s="7"/>
      <c r="P325" s="8"/>
      <c r="Q325" s="5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24">
        <v>46319.0</v>
      </c>
      <c r="B326" s="25" t="s">
        <v>28</v>
      </c>
      <c r="C326" s="25">
        <v>1000.0</v>
      </c>
      <c r="D326" s="26" t="str">
        <f t="shared" si="26"/>
        <v>#DIV/0!</v>
      </c>
      <c r="E326" s="5"/>
      <c r="F326" s="5">
        <f t="shared" si="30"/>
        <v>0</v>
      </c>
      <c r="G326" s="5"/>
      <c r="H326" s="5"/>
      <c r="I326" s="5">
        <f t="shared" si="32"/>
        <v>0</v>
      </c>
      <c r="J326" s="5"/>
      <c r="K326" s="5"/>
      <c r="L326" s="5">
        <f t="shared" si="28"/>
        <v>0</v>
      </c>
      <c r="M326" s="5">
        <f t="shared" si="31"/>
        <v>0</v>
      </c>
      <c r="N326" s="5"/>
      <c r="O326" s="7"/>
      <c r="P326" s="8"/>
      <c r="Q326" s="5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24">
        <v>46320.0</v>
      </c>
      <c r="B327" s="25" t="s">
        <v>29</v>
      </c>
      <c r="C327" s="25">
        <v>1000.0</v>
      </c>
      <c r="D327" s="26" t="str">
        <f t="shared" si="26"/>
        <v>#DIV/0!</v>
      </c>
      <c r="E327" s="5">
        <v>0.0</v>
      </c>
      <c r="F327" s="5">
        <f t="shared" si="30"/>
        <v>0</v>
      </c>
      <c r="G327" s="5">
        <v>0.0</v>
      </c>
      <c r="H327" s="5">
        <v>0.0</v>
      </c>
      <c r="I327" s="5">
        <f t="shared" si="32"/>
        <v>0</v>
      </c>
      <c r="J327" s="5">
        <v>0.0</v>
      </c>
      <c r="K327" s="5">
        <v>0.0</v>
      </c>
      <c r="L327" s="5">
        <f t="shared" si="28"/>
        <v>0</v>
      </c>
      <c r="M327" s="5">
        <f t="shared" si="31"/>
        <v>0</v>
      </c>
      <c r="N327" s="5">
        <v>0.0</v>
      </c>
      <c r="O327" s="7">
        <v>0.0</v>
      </c>
      <c r="P327" s="8"/>
      <c r="Q327" s="5">
        <v>0.0</v>
      </c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24">
        <v>46321.0</v>
      </c>
      <c r="B328" s="25" t="s">
        <v>30</v>
      </c>
      <c r="C328" s="25">
        <v>1000.0</v>
      </c>
      <c r="D328" s="26" t="str">
        <f t="shared" si="26"/>
        <v>#DIV/0!</v>
      </c>
      <c r="E328" s="5"/>
      <c r="F328" s="5">
        <f t="shared" si="30"/>
        <v>0</v>
      </c>
      <c r="G328" s="5"/>
      <c r="H328" s="5"/>
      <c r="I328" s="5">
        <f t="shared" si="32"/>
        <v>0</v>
      </c>
      <c r="J328" s="5"/>
      <c r="K328" s="5"/>
      <c r="L328" s="5">
        <f t="shared" si="28"/>
        <v>0</v>
      </c>
      <c r="M328" s="5">
        <f t="shared" si="31"/>
        <v>0</v>
      </c>
      <c r="N328" s="5"/>
      <c r="O328" s="7"/>
      <c r="P328" s="8"/>
      <c r="Q328" s="5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24">
        <v>46322.0</v>
      </c>
      <c r="B329" s="25" t="s">
        <v>32</v>
      </c>
      <c r="C329" s="25">
        <v>1000.0</v>
      </c>
      <c r="D329" s="26" t="str">
        <f t="shared" si="26"/>
        <v>#DIV/0!</v>
      </c>
      <c r="E329" s="5"/>
      <c r="F329" s="5">
        <f t="shared" si="30"/>
        <v>0</v>
      </c>
      <c r="G329" s="5"/>
      <c r="H329" s="5"/>
      <c r="I329" s="5">
        <f t="shared" si="32"/>
        <v>0</v>
      </c>
      <c r="J329" s="5"/>
      <c r="K329" s="5"/>
      <c r="L329" s="5">
        <f t="shared" si="28"/>
        <v>0</v>
      </c>
      <c r="M329" s="5">
        <f t="shared" si="31"/>
        <v>0</v>
      </c>
      <c r="N329" s="5"/>
      <c r="O329" s="7"/>
      <c r="P329" s="8"/>
      <c r="Q329" s="5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24">
        <v>46323.0</v>
      </c>
      <c r="B330" s="25" t="s">
        <v>33</v>
      </c>
      <c r="C330" s="25">
        <v>1000.0</v>
      </c>
      <c r="D330" s="26" t="str">
        <f t="shared" si="26"/>
        <v>#DIV/0!</v>
      </c>
      <c r="E330" s="5"/>
      <c r="F330" s="5">
        <f t="shared" si="30"/>
        <v>0</v>
      </c>
      <c r="G330" s="5"/>
      <c r="H330" s="5"/>
      <c r="I330" s="5">
        <f t="shared" si="32"/>
        <v>0</v>
      </c>
      <c r="J330" s="5"/>
      <c r="K330" s="5"/>
      <c r="L330" s="5">
        <f t="shared" si="28"/>
        <v>0</v>
      </c>
      <c r="M330" s="5">
        <f t="shared" si="31"/>
        <v>0</v>
      </c>
      <c r="N330" s="5"/>
      <c r="O330" s="7"/>
      <c r="P330" s="8"/>
      <c r="Q330" s="5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24">
        <v>46324.0</v>
      </c>
      <c r="B331" s="25" t="s">
        <v>25</v>
      </c>
      <c r="C331" s="25">
        <v>1000.0</v>
      </c>
      <c r="D331" s="26" t="str">
        <f t="shared" si="26"/>
        <v>#DIV/0!</v>
      </c>
      <c r="E331" s="5"/>
      <c r="F331" s="5">
        <f t="shared" si="30"/>
        <v>0</v>
      </c>
      <c r="G331" s="5"/>
      <c r="H331" s="5"/>
      <c r="I331" s="5">
        <f t="shared" si="32"/>
        <v>0</v>
      </c>
      <c r="J331" s="5"/>
      <c r="K331" s="5"/>
      <c r="L331" s="5">
        <f t="shared" si="28"/>
        <v>0</v>
      </c>
      <c r="M331" s="5">
        <f t="shared" si="31"/>
        <v>0</v>
      </c>
      <c r="N331" s="5"/>
      <c r="O331" s="7"/>
      <c r="P331" s="8"/>
      <c r="Q331" s="5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24">
        <v>46325.0</v>
      </c>
      <c r="B332" s="25" t="s">
        <v>27</v>
      </c>
      <c r="C332" s="25">
        <v>1000.0</v>
      </c>
      <c r="D332" s="26" t="str">
        <f t="shared" si="26"/>
        <v>#DIV/0!</v>
      </c>
      <c r="E332" s="5"/>
      <c r="F332" s="5">
        <f t="shared" si="30"/>
        <v>0</v>
      </c>
      <c r="G332" s="5"/>
      <c r="H332" s="5"/>
      <c r="I332" s="5">
        <f t="shared" si="32"/>
        <v>0</v>
      </c>
      <c r="J332" s="5"/>
      <c r="K332" s="5"/>
      <c r="L332" s="5">
        <f t="shared" si="28"/>
        <v>0</v>
      </c>
      <c r="M332" s="5">
        <f t="shared" si="31"/>
        <v>0</v>
      </c>
      <c r="N332" s="5"/>
      <c r="O332" s="7"/>
      <c r="P332" s="8"/>
      <c r="Q332" s="5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24">
        <v>46326.0</v>
      </c>
      <c r="B333" s="25" t="s">
        <v>28</v>
      </c>
      <c r="C333" s="25">
        <v>1000.0</v>
      </c>
      <c r="D333" s="26" t="str">
        <f t="shared" si="26"/>
        <v>#DIV/0!</v>
      </c>
      <c r="E333" s="5"/>
      <c r="F333" s="5">
        <f t="shared" si="30"/>
        <v>0</v>
      </c>
      <c r="G333" s="5"/>
      <c r="H333" s="5"/>
      <c r="I333" s="5">
        <f t="shared" si="32"/>
        <v>0</v>
      </c>
      <c r="J333" s="5"/>
      <c r="K333" s="5"/>
      <c r="L333" s="5">
        <f t="shared" si="28"/>
        <v>0</v>
      </c>
      <c r="M333" s="5">
        <f t="shared" si="31"/>
        <v>0</v>
      </c>
      <c r="N333" s="5"/>
      <c r="O333" s="7"/>
      <c r="P333" s="8"/>
      <c r="Q333" s="5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24">
        <v>46327.0</v>
      </c>
      <c r="B334" s="25" t="s">
        <v>29</v>
      </c>
      <c r="C334" s="25">
        <v>1000.0</v>
      </c>
      <c r="D334" s="26" t="str">
        <f t="shared" si="26"/>
        <v>#DIV/0!</v>
      </c>
      <c r="E334" s="5">
        <v>0.0</v>
      </c>
      <c r="F334" s="5">
        <f t="shared" si="30"/>
        <v>0</v>
      </c>
      <c r="G334" s="5">
        <v>0.0</v>
      </c>
      <c r="H334" s="5">
        <v>0.0</v>
      </c>
      <c r="I334" s="5">
        <f t="shared" si="32"/>
        <v>0</v>
      </c>
      <c r="J334" s="5">
        <v>0.0</v>
      </c>
      <c r="K334" s="5">
        <v>0.0</v>
      </c>
      <c r="L334" s="5">
        <f t="shared" si="28"/>
        <v>0</v>
      </c>
      <c r="M334" s="5">
        <f t="shared" si="31"/>
        <v>0</v>
      </c>
      <c r="N334" s="5">
        <v>0.0</v>
      </c>
      <c r="O334" s="7">
        <v>0.0</v>
      </c>
      <c r="P334" s="8"/>
      <c r="Q334" s="5">
        <v>0.0</v>
      </c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24">
        <v>46328.0</v>
      </c>
      <c r="B335" s="25" t="s">
        <v>30</v>
      </c>
      <c r="C335" s="25">
        <v>1000.0</v>
      </c>
      <c r="D335" s="26" t="str">
        <f t="shared" si="26"/>
        <v>#DIV/0!</v>
      </c>
      <c r="E335" s="5"/>
      <c r="F335" s="5">
        <f t="shared" si="30"/>
        <v>0</v>
      </c>
      <c r="G335" s="5"/>
      <c r="H335" s="5"/>
      <c r="I335" s="5">
        <f t="shared" si="32"/>
        <v>0</v>
      </c>
      <c r="J335" s="5"/>
      <c r="K335" s="5"/>
      <c r="L335" s="5">
        <f t="shared" si="28"/>
        <v>0</v>
      </c>
      <c r="M335" s="5">
        <f t="shared" si="31"/>
        <v>0</v>
      </c>
      <c r="N335" s="5"/>
      <c r="O335" s="7"/>
      <c r="P335" s="8"/>
      <c r="Q335" s="5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24">
        <v>46329.0</v>
      </c>
      <c r="B336" s="25" t="s">
        <v>32</v>
      </c>
      <c r="C336" s="25">
        <v>1000.0</v>
      </c>
      <c r="D336" s="26" t="str">
        <f t="shared" si="26"/>
        <v>#DIV/0!</v>
      </c>
      <c r="E336" s="5"/>
      <c r="F336" s="5">
        <f t="shared" si="30"/>
        <v>0</v>
      </c>
      <c r="G336" s="5"/>
      <c r="H336" s="5"/>
      <c r="I336" s="5">
        <f t="shared" si="32"/>
        <v>0</v>
      </c>
      <c r="J336" s="5"/>
      <c r="K336" s="5"/>
      <c r="L336" s="5">
        <f t="shared" si="28"/>
        <v>0</v>
      </c>
      <c r="M336" s="5">
        <f t="shared" si="31"/>
        <v>0</v>
      </c>
      <c r="N336" s="5"/>
      <c r="O336" s="7"/>
      <c r="P336" s="8"/>
      <c r="Q336" s="5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24">
        <v>46330.0</v>
      </c>
      <c r="B337" s="25" t="s">
        <v>33</v>
      </c>
      <c r="C337" s="25">
        <v>1000.0</v>
      </c>
      <c r="D337" s="26" t="str">
        <f t="shared" si="26"/>
        <v>#DIV/0!</v>
      </c>
      <c r="E337" s="5"/>
      <c r="F337" s="5">
        <f t="shared" si="30"/>
        <v>0</v>
      </c>
      <c r="G337" s="5"/>
      <c r="H337" s="5"/>
      <c r="I337" s="5">
        <f t="shared" si="32"/>
        <v>0</v>
      </c>
      <c r="J337" s="5"/>
      <c r="K337" s="5"/>
      <c r="L337" s="5">
        <f t="shared" si="28"/>
        <v>0</v>
      </c>
      <c r="M337" s="5">
        <f t="shared" si="31"/>
        <v>0</v>
      </c>
      <c r="N337" s="5"/>
      <c r="O337" s="7"/>
      <c r="P337" s="8"/>
      <c r="Q337" s="5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24">
        <v>46331.0</v>
      </c>
      <c r="B338" s="25" t="s">
        <v>25</v>
      </c>
      <c r="C338" s="25">
        <v>1000.0</v>
      </c>
      <c r="D338" s="26" t="str">
        <f t="shared" si="26"/>
        <v>#DIV/0!</v>
      </c>
      <c r="E338" s="5"/>
      <c r="F338" s="5">
        <f t="shared" si="30"/>
        <v>0</v>
      </c>
      <c r="G338" s="5"/>
      <c r="H338" s="5"/>
      <c r="I338" s="5">
        <f t="shared" si="32"/>
        <v>0</v>
      </c>
      <c r="J338" s="5"/>
      <c r="K338" s="5"/>
      <c r="L338" s="5">
        <f t="shared" si="28"/>
        <v>0</v>
      </c>
      <c r="M338" s="5">
        <f t="shared" si="31"/>
        <v>0</v>
      </c>
      <c r="N338" s="5"/>
      <c r="O338" s="7"/>
      <c r="P338" s="8"/>
      <c r="Q338" s="5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24">
        <v>46332.0</v>
      </c>
      <c r="B339" s="25" t="s">
        <v>27</v>
      </c>
      <c r="C339" s="25">
        <v>1000.0</v>
      </c>
      <c r="D339" s="26" t="str">
        <f t="shared" si="26"/>
        <v>#DIV/0!</v>
      </c>
      <c r="E339" s="5"/>
      <c r="F339" s="5">
        <f t="shared" si="30"/>
        <v>0</v>
      </c>
      <c r="G339" s="5"/>
      <c r="H339" s="5"/>
      <c r="I339" s="5">
        <f t="shared" si="32"/>
        <v>0</v>
      </c>
      <c r="J339" s="5"/>
      <c r="K339" s="5"/>
      <c r="L339" s="5">
        <f t="shared" si="28"/>
        <v>0</v>
      </c>
      <c r="M339" s="5">
        <f t="shared" si="31"/>
        <v>0</v>
      </c>
      <c r="N339" s="5"/>
      <c r="O339" s="7"/>
      <c r="P339" s="8"/>
      <c r="Q339" s="5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24">
        <v>46333.0</v>
      </c>
      <c r="B340" s="25" t="s">
        <v>28</v>
      </c>
      <c r="C340" s="25">
        <v>1000.0</v>
      </c>
      <c r="D340" s="26" t="str">
        <f t="shared" si="26"/>
        <v>#DIV/0!</v>
      </c>
      <c r="E340" s="5"/>
      <c r="F340" s="5">
        <f t="shared" si="30"/>
        <v>0</v>
      </c>
      <c r="G340" s="5"/>
      <c r="H340" s="5"/>
      <c r="I340" s="5">
        <f t="shared" si="32"/>
        <v>0</v>
      </c>
      <c r="J340" s="5"/>
      <c r="K340" s="5"/>
      <c r="L340" s="5">
        <f t="shared" si="28"/>
        <v>0</v>
      </c>
      <c r="M340" s="5">
        <f t="shared" si="31"/>
        <v>0</v>
      </c>
      <c r="N340" s="5"/>
      <c r="O340" s="7"/>
      <c r="P340" s="8"/>
      <c r="Q340" s="5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24">
        <v>46334.0</v>
      </c>
      <c r="B341" s="25" t="s">
        <v>29</v>
      </c>
      <c r="C341" s="25">
        <v>1000.0</v>
      </c>
      <c r="D341" s="26" t="str">
        <f t="shared" si="26"/>
        <v>#DIV/0!</v>
      </c>
      <c r="E341" s="5">
        <v>0.0</v>
      </c>
      <c r="F341" s="5">
        <f t="shared" si="30"/>
        <v>0</v>
      </c>
      <c r="G341" s="5">
        <v>0.0</v>
      </c>
      <c r="H341" s="5">
        <v>0.0</v>
      </c>
      <c r="I341" s="5">
        <f t="shared" si="32"/>
        <v>0</v>
      </c>
      <c r="J341" s="5">
        <v>0.0</v>
      </c>
      <c r="K341" s="5">
        <v>0.0</v>
      </c>
      <c r="L341" s="5">
        <f t="shared" si="28"/>
        <v>0</v>
      </c>
      <c r="M341" s="5">
        <f t="shared" si="31"/>
        <v>0</v>
      </c>
      <c r="N341" s="5">
        <v>0.0</v>
      </c>
      <c r="O341" s="7">
        <v>0.0</v>
      </c>
      <c r="P341" s="8"/>
      <c r="Q341" s="5">
        <v>0.0</v>
      </c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24">
        <v>46335.0</v>
      </c>
      <c r="B342" s="25" t="s">
        <v>30</v>
      </c>
      <c r="C342" s="25">
        <v>1000.0</v>
      </c>
      <c r="D342" s="26" t="str">
        <f t="shared" si="26"/>
        <v>#DIV/0!</v>
      </c>
      <c r="E342" s="5"/>
      <c r="F342" s="5">
        <f t="shared" si="30"/>
        <v>0</v>
      </c>
      <c r="G342" s="5"/>
      <c r="H342" s="5"/>
      <c r="I342" s="5">
        <f t="shared" si="32"/>
        <v>0</v>
      </c>
      <c r="J342" s="5"/>
      <c r="K342" s="5"/>
      <c r="L342" s="5">
        <f t="shared" si="28"/>
        <v>0</v>
      </c>
      <c r="M342" s="5">
        <f t="shared" si="31"/>
        <v>0</v>
      </c>
      <c r="N342" s="5"/>
      <c r="O342" s="7"/>
      <c r="P342" s="8"/>
      <c r="Q342" s="5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24">
        <v>46336.0</v>
      </c>
      <c r="B343" s="25" t="s">
        <v>32</v>
      </c>
      <c r="C343" s="25">
        <v>1000.0</v>
      </c>
      <c r="D343" s="26" t="str">
        <f t="shared" si="26"/>
        <v>#DIV/0!</v>
      </c>
      <c r="E343" s="5"/>
      <c r="F343" s="5">
        <f t="shared" si="30"/>
        <v>0</v>
      </c>
      <c r="G343" s="5"/>
      <c r="H343" s="5"/>
      <c r="I343" s="5">
        <f t="shared" si="32"/>
        <v>0</v>
      </c>
      <c r="J343" s="5"/>
      <c r="K343" s="5"/>
      <c r="L343" s="5">
        <f t="shared" si="28"/>
        <v>0</v>
      </c>
      <c r="M343" s="5">
        <f t="shared" si="31"/>
        <v>0</v>
      </c>
      <c r="N343" s="5"/>
      <c r="O343" s="7"/>
      <c r="P343" s="8"/>
      <c r="Q343" s="5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24">
        <v>46337.0</v>
      </c>
      <c r="B344" s="25" t="s">
        <v>33</v>
      </c>
      <c r="C344" s="25">
        <v>1000.0</v>
      </c>
      <c r="D344" s="26" t="str">
        <f t="shared" si="26"/>
        <v>#DIV/0!</v>
      </c>
      <c r="E344" s="5"/>
      <c r="F344" s="5">
        <f t="shared" si="30"/>
        <v>0</v>
      </c>
      <c r="G344" s="5"/>
      <c r="H344" s="5"/>
      <c r="I344" s="5">
        <f t="shared" si="32"/>
        <v>0</v>
      </c>
      <c r="J344" s="5"/>
      <c r="K344" s="5"/>
      <c r="L344" s="5">
        <f t="shared" si="28"/>
        <v>0</v>
      </c>
      <c r="M344" s="5">
        <f t="shared" si="31"/>
        <v>0</v>
      </c>
      <c r="N344" s="5"/>
      <c r="O344" s="7"/>
      <c r="P344" s="8"/>
      <c r="Q344" s="5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24">
        <v>46338.0</v>
      </c>
      <c r="B345" s="25" t="s">
        <v>25</v>
      </c>
      <c r="C345" s="25">
        <v>1000.0</v>
      </c>
      <c r="D345" s="26" t="str">
        <f t="shared" si="26"/>
        <v>#DIV/0!</v>
      </c>
      <c r="E345" s="5"/>
      <c r="F345" s="5">
        <f t="shared" si="30"/>
        <v>0</v>
      </c>
      <c r="G345" s="5"/>
      <c r="H345" s="5"/>
      <c r="I345" s="5">
        <f t="shared" si="32"/>
        <v>0</v>
      </c>
      <c r="J345" s="5"/>
      <c r="K345" s="5"/>
      <c r="L345" s="5">
        <f t="shared" si="28"/>
        <v>0</v>
      </c>
      <c r="M345" s="5">
        <f t="shared" si="31"/>
        <v>0</v>
      </c>
      <c r="N345" s="5"/>
      <c r="O345" s="7"/>
      <c r="P345" s="8"/>
      <c r="Q345" s="5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24">
        <v>46339.0</v>
      </c>
      <c r="B346" s="25" t="s">
        <v>27</v>
      </c>
      <c r="C346" s="25">
        <v>1000.0</v>
      </c>
      <c r="D346" s="26" t="str">
        <f t="shared" si="26"/>
        <v>#DIV/0!</v>
      </c>
      <c r="E346" s="5"/>
      <c r="F346" s="5">
        <f t="shared" si="30"/>
        <v>0</v>
      </c>
      <c r="G346" s="5"/>
      <c r="H346" s="5"/>
      <c r="I346" s="5">
        <f t="shared" si="32"/>
        <v>0</v>
      </c>
      <c r="J346" s="5"/>
      <c r="K346" s="5"/>
      <c r="L346" s="5">
        <f t="shared" si="28"/>
        <v>0</v>
      </c>
      <c r="M346" s="5">
        <f t="shared" si="31"/>
        <v>0</v>
      </c>
      <c r="N346" s="5"/>
      <c r="O346" s="7"/>
      <c r="P346" s="8"/>
      <c r="Q346" s="5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24">
        <v>46340.0</v>
      </c>
      <c r="B347" s="25" t="s">
        <v>28</v>
      </c>
      <c r="C347" s="25">
        <v>1000.0</v>
      </c>
      <c r="D347" s="26" t="str">
        <f t="shared" si="26"/>
        <v>#DIV/0!</v>
      </c>
      <c r="E347" s="5"/>
      <c r="F347" s="5">
        <f t="shared" si="30"/>
        <v>0</v>
      </c>
      <c r="G347" s="5"/>
      <c r="H347" s="5"/>
      <c r="I347" s="5">
        <f t="shared" si="32"/>
        <v>0</v>
      </c>
      <c r="J347" s="5"/>
      <c r="K347" s="5"/>
      <c r="L347" s="5">
        <f t="shared" si="28"/>
        <v>0</v>
      </c>
      <c r="M347" s="5">
        <f t="shared" si="31"/>
        <v>0</v>
      </c>
      <c r="N347" s="5"/>
      <c r="O347" s="7"/>
      <c r="P347" s="8"/>
      <c r="Q347" s="5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24">
        <v>46341.0</v>
      </c>
      <c r="B348" s="25" t="s">
        <v>29</v>
      </c>
      <c r="C348" s="25">
        <v>1000.0</v>
      </c>
      <c r="D348" s="26" t="str">
        <f t="shared" si="26"/>
        <v>#DIV/0!</v>
      </c>
      <c r="E348" s="5">
        <v>0.0</v>
      </c>
      <c r="F348" s="5">
        <f t="shared" si="30"/>
        <v>0</v>
      </c>
      <c r="G348" s="5">
        <v>0.0</v>
      </c>
      <c r="H348" s="5">
        <v>0.0</v>
      </c>
      <c r="I348" s="5">
        <f t="shared" si="32"/>
        <v>0</v>
      </c>
      <c r="J348" s="5">
        <v>0.0</v>
      </c>
      <c r="K348" s="5">
        <v>0.0</v>
      </c>
      <c r="L348" s="5">
        <f t="shared" si="28"/>
        <v>0</v>
      </c>
      <c r="M348" s="5">
        <f t="shared" si="31"/>
        <v>0</v>
      </c>
      <c r="N348" s="5">
        <v>0.0</v>
      </c>
      <c r="O348" s="7">
        <v>0.0</v>
      </c>
      <c r="P348" s="8"/>
      <c r="Q348" s="5">
        <v>0.0</v>
      </c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24">
        <v>46342.0</v>
      </c>
      <c r="B349" s="25" t="s">
        <v>30</v>
      </c>
      <c r="C349" s="25">
        <v>1000.0</v>
      </c>
      <c r="D349" s="26" t="str">
        <f t="shared" si="26"/>
        <v>#DIV/0!</v>
      </c>
      <c r="E349" s="5"/>
      <c r="F349" s="5">
        <f t="shared" si="30"/>
        <v>0</v>
      </c>
      <c r="G349" s="5"/>
      <c r="H349" s="5"/>
      <c r="I349" s="5">
        <f t="shared" si="32"/>
        <v>0</v>
      </c>
      <c r="J349" s="5"/>
      <c r="K349" s="5"/>
      <c r="L349" s="5">
        <f t="shared" si="28"/>
        <v>0</v>
      </c>
      <c r="M349" s="5">
        <f t="shared" si="31"/>
        <v>0</v>
      </c>
      <c r="N349" s="5"/>
      <c r="O349" s="7"/>
      <c r="P349" s="8"/>
      <c r="Q349" s="5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24">
        <v>46343.0</v>
      </c>
      <c r="B350" s="25" t="s">
        <v>32</v>
      </c>
      <c r="C350" s="25">
        <v>1000.0</v>
      </c>
      <c r="D350" s="26" t="str">
        <f t="shared" si="26"/>
        <v>#DIV/0!</v>
      </c>
      <c r="E350" s="5"/>
      <c r="F350" s="5">
        <f t="shared" si="30"/>
        <v>0</v>
      </c>
      <c r="G350" s="5"/>
      <c r="H350" s="5"/>
      <c r="I350" s="5">
        <f t="shared" si="32"/>
        <v>0</v>
      </c>
      <c r="J350" s="5"/>
      <c r="K350" s="5"/>
      <c r="L350" s="5">
        <f t="shared" si="28"/>
        <v>0</v>
      </c>
      <c r="M350" s="5">
        <f t="shared" si="31"/>
        <v>0</v>
      </c>
      <c r="N350" s="5"/>
      <c r="O350" s="7"/>
      <c r="P350" s="8"/>
      <c r="Q350" s="5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24">
        <v>46344.0</v>
      </c>
      <c r="B351" s="25" t="s">
        <v>33</v>
      </c>
      <c r="C351" s="25">
        <v>1000.0</v>
      </c>
      <c r="D351" s="26" t="str">
        <f t="shared" si="26"/>
        <v>#DIV/0!</v>
      </c>
      <c r="E351" s="5"/>
      <c r="F351" s="5">
        <f t="shared" si="30"/>
        <v>0</v>
      </c>
      <c r="G351" s="5"/>
      <c r="H351" s="5"/>
      <c r="I351" s="5">
        <f t="shared" si="32"/>
        <v>0</v>
      </c>
      <c r="J351" s="5"/>
      <c r="K351" s="5"/>
      <c r="L351" s="5">
        <f t="shared" si="28"/>
        <v>0</v>
      </c>
      <c r="M351" s="5">
        <f t="shared" si="31"/>
        <v>0</v>
      </c>
      <c r="N351" s="5"/>
      <c r="O351" s="7"/>
      <c r="P351" s="8"/>
      <c r="Q351" s="5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24">
        <v>46345.0</v>
      </c>
      <c r="B352" s="25" t="s">
        <v>25</v>
      </c>
      <c r="C352" s="25">
        <v>1000.0</v>
      </c>
      <c r="D352" s="26" t="str">
        <f t="shared" si="26"/>
        <v>#DIV/0!</v>
      </c>
      <c r="E352" s="5"/>
      <c r="F352" s="5">
        <f t="shared" si="30"/>
        <v>0</v>
      </c>
      <c r="G352" s="5"/>
      <c r="H352" s="5"/>
      <c r="I352" s="5">
        <f t="shared" si="32"/>
        <v>0</v>
      </c>
      <c r="J352" s="5"/>
      <c r="K352" s="5"/>
      <c r="L352" s="5">
        <f t="shared" si="28"/>
        <v>0</v>
      </c>
      <c r="M352" s="5">
        <f t="shared" si="31"/>
        <v>0</v>
      </c>
      <c r="N352" s="5"/>
      <c r="O352" s="7"/>
      <c r="P352" s="8"/>
      <c r="Q352" s="5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24">
        <v>46346.0</v>
      </c>
      <c r="B353" s="25" t="s">
        <v>27</v>
      </c>
      <c r="C353" s="25">
        <v>1000.0</v>
      </c>
      <c r="D353" s="26" t="str">
        <f t="shared" si="26"/>
        <v>#DIV/0!</v>
      </c>
      <c r="E353" s="5"/>
      <c r="F353" s="5">
        <f t="shared" si="30"/>
        <v>0</v>
      </c>
      <c r="G353" s="5"/>
      <c r="H353" s="5"/>
      <c r="I353" s="5">
        <f t="shared" si="32"/>
        <v>0</v>
      </c>
      <c r="J353" s="5"/>
      <c r="K353" s="5"/>
      <c r="L353" s="5">
        <f t="shared" si="28"/>
        <v>0</v>
      </c>
      <c r="M353" s="5">
        <f t="shared" si="31"/>
        <v>0</v>
      </c>
      <c r="N353" s="5"/>
      <c r="O353" s="7"/>
      <c r="P353" s="8"/>
      <c r="Q353" s="5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24">
        <v>46347.0</v>
      </c>
      <c r="B354" s="25" t="s">
        <v>28</v>
      </c>
      <c r="C354" s="25">
        <v>1000.0</v>
      </c>
      <c r="D354" s="26" t="str">
        <f t="shared" si="26"/>
        <v>#DIV/0!</v>
      </c>
      <c r="E354" s="5"/>
      <c r="F354" s="5">
        <f t="shared" si="30"/>
        <v>0</v>
      </c>
      <c r="G354" s="5"/>
      <c r="H354" s="5"/>
      <c r="I354" s="5">
        <f t="shared" si="32"/>
        <v>0</v>
      </c>
      <c r="J354" s="5"/>
      <c r="K354" s="5"/>
      <c r="L354" s="5">
        <f t="shared" si="28"/>
        <v>0</v>
      </c>
      <c r="M354" s="5">
        <f t="shared" si="31"/>
        <v>0</v>
      </c>
      <c r="N354" s="5"/>
      <c r="O354" s="7"/>
      <c r="P354" s="8"/>
      <c r="Q354" s="5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24">
        <v>46348.0</v>
      </c>
      <c r="B355" s="25" t="s">
        <v>29</v>
      </c>
      <c r="C355" s="25">
        <v>1000.0</v>
      </c>
      <c r="D355" s="26" t="str">
        <f t="shared" si="26"/>
        <v>#DIV/0!</v>
      </c>
      <c r="E355" s="5">
        <v>0.0</v>
      </c>
      <c r="F355" s="5">
        <f t="shared" si="30"/>
        <v>0</v>
      </c>
      <c r="G355" s="5">
        <v>0.0</v>
      </c>
      <c r="H355" s="5">
        <v>0.0</v>
      </c>
      <c r="I355" s="5">
        <f t="shared" si="32"/>
        <v>0</v>
      </c>
      <c r="J355" s="5">
        <v>0.0</v>
      </c>
      <c r="K355" s="5">
        <v>0.0</v>
      </c>
      <c r="L355" s="5">
        <f t="shared" si="28"/>
        <v>0</v>
      </c>
      <c r="M355" s="5">
        <f t="shared" si="31"/>
        <v>0</v>
      </c>
      <c r="N355" s="5">
        <v>0.0</v>
      </c>
      <c r="O355" s="7">
        <v>0.0</v>
      </c>
      <c r="P355" s="8"/>
      <c r="Q355" s="5">
        <v>0.0</v>
      </c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24">
        <v>46349.0</v>
      </c>
      <c r="B356" s="25" t="s">
        <v>30</v>
      </c>
      <c r="C356" s="25">
        <v>1000.0</v>
      </c>
      <c r="D356" s="26" t="str">
        <f t="shared" si="26"/>
        <v>#DIV/0!</v>
      </c>
      <c r="E356" s="5"/>
      <c r="F356" s="5">
        <f t="shared" si="30"/>
        <v>0</v>
      </c>
      <c r="G356" s="5"/>
      <c r="H356" s="5"/>
      <c r="I356" s="5">
        <f t="shared" si="32"/>
        <v>0</v>
      </c>
      <c r="J356" s="5"/>
      <c r="K356" s="5"/>
      <c r="L356" s="5">
        <f t="shared" si="28"/>
        <v>0</v>
      </c>
      <c r="M356" s="5">
        <f t="shared" si="31"/>
        <v>0</v>
      </c>
      <c r="N356" s="5"/>
      <c r="O356" s="7"/>
      <c r="P356" s="8"/>
      <c r="Q356" s="5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24">
        <v>46350.0</v>
      </c>
      <c r="B357" s="25" t="s">
        <v>32</v>
      </c>
      <c r="C357" s="25">
        <v>1000.0</v>
      </c>
      <c r="D357" s="26" t="str">
        <f t="shared" si="26"/>
        <v>#DIV/0!</v>
      </c>
      <c r="E357" s="5"/>
      <c r="F357" s="5">
        <f t="shared" si="30"/>
        <v>0</v>
      </c>
      <c r="G357" s="5"/>
      <c r="H357" s="5"/>
      <c r="I357" s="5">
        <f t="shared" si="32"/>
        <v>0</v>
      </c>
      <c r="J357" s="5"/>
      <c r="K357" s="5"/>
      <c r="L357" s="5">
        <f t="shared" si="28"/>
        <v>0</v>
      </c>
      <c r="M357" s="5">
        <f t="shared" si="31"/>
        <v>0</v>
      </c>
      <c r="N357" s="5"/>
      <c r="O357" s="7"/>
      <c r="P357" s="8"/>
      <c r="Q357" s="5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24">
        <v>46351.0</v>
      </c>
      <c r="B358" s="25" t="s">
        <v>33</v>
      </c>
      <c r="C358" s="25">
        <v>1000.0</v>
      </c>
      <c r="D358" s="26" t="str">
        <f t="shared" si="26"/>
        <v>#DIV/0!</v>
      </c>
      <c r="E358" s="5"/>
      <c r="F358" s="5">
        <f t="shared" si="30"/>
        <v>0</v>
      </c>
      <c r="G358" s="5"/>
      <c r="H358" s="5"/>
      <c r="I358" s="5">
        <f t="shared" si="32"/>
        <v>0</v>
      </c>
      <c r="J358" s="5"/>
      <c r="K358" s="5"/>
      <c r="L358" s="5">
        <f t="shared" si="28"/>
        <v>0</v>
      </c>
      <c r="M358" s="5">
        <f t="shared" si="31"/>
        <v>0</v>
      </c>
      <c r="N358" s="5"/>
      <c r="O358" s="7"/>
      <c r="P358" s="8"/>
      <c r="Q358" s="5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24">
        <v>46352.0</v>
      </c>
      <c r="B359" s="25" t="s">
        <v>25</v>
      </c>
      <c r="C359" s="25">
        <v>1000.0</v>
      </c>
      <c r="D359" s="26" t="str">
        <f t="shared" si="26"/>
        <v>#DIV/0!</v>
      </c>
      <c r="E359" s="5"/>
      <c r="F359" s="5">
        <f t="shared" si="30"/>
        <v>0</v>
      </c>
      <c r="G359" s="5"/>
      <c r="H359" s="5"/>
      <c r="I359" s="5">
        <f t="shared" si="32"/>
        <v>0</v>
      </c>
      <c r="J359" s="5"/>
      <c r="K359" s="5"/>
      <c r="L359" s="5">
        <f t="shared" si="28"/>
        <v>0</v>
      </c>
      <c r="M359" s="5">
        <f t="shared" si="31"/>
        <v>0</v>
      </c>
      <c r="N359" s="5"/>
      <c r="O359" s="7"/>
      <c r="P359" s="8"/>
      <c r="Q359" s="5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24">
        <v>46353.0</v>
      </c>
      <c r="B360" s="25" t="s">
        <v>27</v>
      </c>
      <c r="C360" s="25">
        <v>1000.0</v>
      </c>
      <c r="D360" s="26" t="str">
        <f t="shared" si="26"/>
        <v>#DIV/0!</v>
      </c>
      <c r="E360" s="5"/>
      <c r="F360" s="5">
        <f t="shared" si="30"/>
        <v>0</v>
      </c>
      <c r="G360" s="5"/>
      <c r="H360" s="5"/>
      <c r="I360" s="5">
        <f t="shared" si="32"/>
        <v>0</v>
      </c>
      <c r="J360" s="5"/>
      <c r="K360" s="5"/>
      <c r="L360" s="5">
        <f t="shared" si="28"/>
        <v>0</v>
      </c>
      <c r="M360" s="5">
        <f t="shared" si="31"/>
        <v>0</v>
      </c>
      <c r="N360" s="5"/>
      <c r="O360" s="7"/>
      <c r="P360" s="8"/>
      <c r="Q360" s="5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24">
        <v>46354.0</v>
      </c>
      <c r="B361" s="25" t="s">
        <v>28</v>
      </c>
      <c r="C361" s="25">
        <v>1000.0</v>
      </c>
      <c r="D361" s="26" t="str">
        <f t="shared" si="26"/>
        <v>#DIV/0!</v>
      </c>
      <c r="E361" s="5"/>
      <c r="F361" s="5">
        <f t="shared" si="30"/>
        <v>0</v>
      </c>
      <c r="G361" s="5"/>
      <c r="H361" s="5"/>
      <c r="I361" s="5">
        <f t="shared" si="32"/>
        <v>0</v>
      </c>
      <c r="J361" s="5"/>
      <c r="K361" s="5"/>
      <c r="L361" s="5">
        <f t="shared" si="28"/>
        <v>0</v>
      </c>
      <c r="M361" s="5">
        <f t="shared" si="31"/>
        <v>0</v>
      </c>
      <c r="N361" s="5"/>
      <c r="O361" s="7"/>
      <c r="P361" s="8"/>
      <c r="Q361" s="5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24">
        <v>46355.0</v>
      </c>
      <c r="B362" s="25" t="s">
        <v>29</v>
      </c>
      <c r="C362" s="25">
        <v>1000.0</v>
      </c>
      <c r="D362" s="26" t="str">
        <f t="shared" si="26"/>
        <v>#DIV/0!</v>
      </c>
      <c r="E362" s="5">
        <v>0.0</v>
      </c>
      <c r="F362" s="5">
        <f t="shared" si="30"/>
        <v>0</v>
      </c>
      <c r="G362" s="5">
        <v>0.0</v>
      </c>
      <c r="H362" s="5">
        <v>0.0</v>
      </c>
      <c r="I362" s="5">
        <f t="shared" si="32"/>
        <v>0</v>
      </c>
      <c r="J362" s="5">
        <v>0.0</v>
      </c>
      <c r="K362" s="5">
        <v>0.0</v>
      </c>
      <c r="L362" s="5">
        <f t="shared" si="28"/>
        <v>0</v>
      </c>
      <c r="M362" s="5">
        <f t="shared" si="31"/>
        <v>0</v>
      </c>
      <c r="N362" s="5"/>
      <c r="O362" s="7"/>
      <c r="P362" s="8"/>
      <c r="Q362" s="5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24">
        <v>46356.0</v>
      </c>
      <c r="B363" s="25" t="s">
        <v>30</v>
      </c>
      <c r="C363" s="25">
        <v>1000.0</v>
      </c>
      <c r="D363" s="26" t="str">
        <f t="shared" si="26"/>
        <v>#DIV/0!</v>
      </c>
      <c r="E363" s="5"/>
      <c r="F363" s="5">
        <f t="shared" si="30"/>
        <v>0</v>
      </c>
      <c r="G363" s="5"/>
      <c r="H363" s="5"/>
      <c r="I363" s="5">
        <f t="shared" si="32"/>
        <v>0</v>
      </c>
      <c r="J363" s="5"/>
      <c r="K363" s="5"/>
      <c r="L363" s="5">
        <f t="shared" si="28"/>
        <v>0</v>
      </c>
      <c r="M363" s="5">
        <f t="shared" si="31"/>
        <v>0</v>
      </c>
      <c r="N363" s="5"/>
      <c r="O363" s="7"/>
      <c r="P363" s="8"/>
      <c r="Q363" s="5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24">
        <v>46357.0</v>
      </c>
      <c r="B364" s="25" t="s">
        <v>32</v>
      </c>
      <c r="C364" s="25">
        <v>1000.0</v>
      </c>
      <c r="D364" s="26" t="str">
        <f t="shared" si="26"/>
        <v>#DIV/0!</v>
      </c>
      <c r="E364" s="5"/>
      <c r="F364" s="5">
        <f t="shared" si="30"/>
        <v>0</v>
      </c>
      <c r="G364" s="5"/>
      <c r="H364" s="5"/>
      <c r="I364" s="5">
        <f t="shared" si="32"/>
        <v>0</v>
      </c>
      <c r="J364" s="5"/>
      <c r="K364" s="5"/>
      <c r="L364" s="5">
        <f t="shared" si="28"/>
        <v>0</v>
      </c>
      <c r="M364" s="5">
        <f t="shared" si="31"/>
        <v>0</v>
      </c>
      <c r="N364" s="5"/>
      <c r="O364" s="7"/>
      <c r="P364" s="8"/>
      <c r="Q364" s="5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24">
        <v>46358.0</v>
      </c>
      <c r="B365" s="25" t="s">
        <v>33</v>
      </c>
      <c r="C365" s="25">
        <v>1000.0</v>
      </c>
      <c r="D365" s="26" t="str">
        <f t="shared" si="26"/>
        <v>#DIV/0!</v>
      </c>
      <c r="E365" s="5"/>
      <c r="F365" s="5">
        <f t="shared" si="30"/>
        <v>0</v>
      </c>
      <c r="G365" s="5"/>
      <c r="H365" s="5"/>
      <c r="I365" s="5">
        <f t="shared" si="32"/>
        <v>0</v>
      </c>
      <c r="J365" s="5"/>
      <c r="K365" s="5"/>
      <c r="L365" s="5">
        <f t="shared" si="28"/>
        <v>0</v>
      </c>
      <c r="M365" s="5">
        <f t="shared" si="31"/>
        <v>0</v>
      </c>
      <c r="N365" s="5"/>
      <c r="O365" s="7"/>
      <c r="P365" s="8"/>
      <c r="Q365" s="5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24">
        <v>46359.0</v>
      </c>
      <c r="B366" s="25" t="s">
        <v>25</v>
      </c>
      <c r="C366" s="25">
        <v>1000.0</v>
      </c>
      <c r="D366" s="26" t="str">
        <f t="shared" si="26"/>
        <v>#DIV/0!</v>
      </c>
      <c r="E366" s="5"/>
      <c r="F366" s="5">
        <f t="shared" si="30"/>
        <v>0</v>
      </c>
      <c r="G366" s="5"/>
      <c r="H366" s="5"/>
      <c r="I366" s="5">
        <f t="shared" si="32"/>
        <v>0</v>
      </c>
      <c r="J366" s="5"/>
      <c r="K366" s="5"/>
      <c r="L366" s="5">
        <f t="shared" si="28"/>
        <v>0</v>
      </c>
      <c r="M366" s="5">
        <f t="shared" si="31"/>
        <v>0</v>
      </c>
      <c r="N366" s="5"/>
      <c r="O366" s="7"/>
      <c r="P366" s="8"/>
      <c r="Q366" s="5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24">
        <v>46360.0</v>
      </c>
      <c r="B367" s="25" t="s">
        <v>27</v>
      </c>
      <c r="C367" s="25">
        <v>1000.0</v>
      </c>
      <c r="D367" s="26" t="str">
        <f t="shared" si="26"/>
        <v>#DIV/0!</v>
      </c>
      <c r="E367" s="5"/>
      <c r="F367" s="5">
        <f t="shared" si="30"/>
        <v>0</v>
      </c>
      <c r="G367" s="5"/>
      <c r="H367" s="5"/>
      <c r="I367" s="5">
        <f t="shared" si="32"/>
        <v>0</v>
      </c>
      <c r="J367" s="5"/>
      <c r="K367" s="5"/>
      <c r="L367" s="5">
        <f t="shared" si="28"/>
        <v>0</v>
      </c>
      <c r="M367" s="5">
        <f t="shared" si="31"/>
        <v>0</v>
      </c>
      <c r="N367" s="5"/>
      <c r="O367" s="7"/>
      <c r="P367" s="8"/>
      <c r="Q367" s="5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26" t="str">
        <f t="shared" si="26"/>
        <v>#DIV/0!</v>
      </c>
      <c r="E368" s="5"/>
      <c r="F368" s="9"/>
      <c r="G368" s="5"/>
      <c r="H368" s="5"/>
      <c r="I368" s="9"/>
      <c r="J368" s="5"/>
      <c r="K368" s="5"/>
      <c r="L368" s="9"/>
      <c r="M368" s="5">
        <f t="shared" si="31"/>
        <v>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26" t="str">
        <f t="shared" si="26"/>
        <v>#DIV/0!</v>
      </c>
      <c r="E369" s="5">
        <v>0.0</v>
      </c>
      <c r="F369" s="9"/>
      <c r="G369" s="5">
        <v>0.0</v>
      </c>
      <c r="H369" s="5">
        <v>0.0</v>
      </c>
      <c r="I369" s="9"/>
      <c r="J369" s="5">
        <v>0.0</v>
      </c>
      <c r="K369" s="5">
        <v>0.0</v>
      </c>
      <c r="L369" s="9"/>
      <c r="M369" s="5">
        <f t="shared" si="31"/>
        <v>0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26" t="str">
        <f t="shared" si="26"/>
        <v>#DIV/0!</v>
      </c>
      <c r="E370" s="9"/>
      <c r="F370" s="9"/>
      <c r="G370" s="5"/>
      <c r="H370" s="5"/>
      <c r="I370" s="9"/>
      <c r="J370" s="5"/>
      <c r="K370" s="5"/>
      <c r="L370" s="9"/>
      <c r="M370" s="5">
        <f t="shared" si="31"/>
        <v>0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26" t="str">
        <f t="shared" si="26"/>
        <v>#DIV/0!</v>
      </c>
      <c r="E371" s="9"/>
      <c r="F371" s="9"/>
      <c r="G371" s="5"/>
      <c r="H371" s="5"/>
      <c r="I371" s="9"/>
      <c r="J371" s="5"/>
      <c r="K371" s="5"/>
      <c r="L371" s="9"/>
      <c r="M371" s="5">
        <f t="shared" si="31"/>
        <v>0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26" t="str">
        <f t="shared" si="26"/>
        <v>#DIV/0!</v>
      </c>
      <c r="E372" s="9"/>
      <c r="F372" s="9"/>
      <c r="G372" s="5"/>
      <c r="H372" s="5"/>
      <c r="I372" s="9"/>
      <c r="J372" s="5"/>
      <c r="K372" s="5"/>
      <c r="L372" s="9"/>
      <c r="M372" s="5">
        <f t="shared" si="31"/>
        <v>0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26" t="str">
        <f t="shared" si="26"/>
        <v>#DIV/0!</v>
      </c>
      <c r="E373" s="9"/>
      <c r="F373" s="9"/>
      <c r="G373" s="5"/>
      <c r="H373" s="5"/>
      <c r="I373" s="9"/>
      <c r="J373" s="5"/>
      <c r="K373" s="5"/>
      <c r="L373" s="9"/>
      <c r="M373" s="5">
        <f t="shared" si="31"/>
        <v>0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26" t="str">
        <f t="shared" si="26"/>
        <v>#DIV/0!</v>
      </c>
      <c r="E374" s="9"/>
      <c r="F374" s="9"/>
      <c r="G374" s="5"/>
      <c r="H374" s="5"/>
      <c r="I374" s="9"/>
      <c r="J374" s="5"/>
      <c r="K374" s="5"/>
      <c r="L374" s="9"/>
      <c r="M374" s="5">
        <f t="shared" si="31"/>
        <v>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26" t="str">
        <f t="shared" si="26"/>
        <v>#DIV/0!</v>
      </c>
      <c r="E375" s="9"/>
      <c r="F375" s="9"/>
      <c r="G375" s="5"/>
      <c r="H375" s="5"/>
      <c r="I375" s="9"/>
      <c r="J375" s="5"/>
      <c r="K375" s="5"/>
      <c r="L375" s="9"/>
      <c r="M375" s="5">
        <f t="shared" si="31"/>
        <v>0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26" t="str">
        <f t="shared" si="26"/>
        <v>#DIV/0!</v>
      </c>
      <c r="E376" s="9"/>
      <c r="F376" s="9"/>
      <c r="G376" s="5">
        <v>0.0</v>
      </c>
      <c r="H376" s="5">
        <v>0.0</v>
      </c>
      <c r="I376" s="9"/>
      <c r="J376" s="5">
        <v>0.0</v>
      </c>
      <c r="K376" s="5">
        <v>0.0</v>
      </c>
      <c r="L376" s="9"/>
      <c r="M376" s="5">
        <f t="shared" si="31"/>
        <v>0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26" t="str">
        <f t="shared" si="26"/>
        <v>#DIV/0!</v>
      </c>
      <c r="E377" s="9"/>
      <c r="F377" s="9"/>
      <c r="G377" s="5"/>
      <c r="H377" s="5"/>
      <c r="I377" s="9"/>
      <c r="J377" s="5"/>
      <c r="K377" s="5"/>
      <c r="L377" s="9"/>
      <c r="M377" s="5">
        <f t="shared" si="31"/>
        <v>0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26" t="str">
        <f t="shared" si="26"/>
        <v>#DIV/0!</v>
      </c>
      <c r="E378" s="9"/>
      <c r="F378" s="9"/>
      <c r="G378" s="5"/>
      <c r="H378" s="5"/>
      <c r="I378" s="9"/>
      <c r="J378" s="5"/>
      <c r="K378" s="5"/>
      <c r="L378" s="9"/>
      <c r="M378" s="5">
        <f t="shared" si="31"/>
        <v>0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26" t="str">
        <f t="shared" si="26"/>
        <v>#DIV/0!</v>
      </c>
      <c r="E379" s="9"/>
      <c r="F379" s="9"/>
      <c r="G379" s="5"/>
      <c r="H379" s="5"/>
      <c r="I379" s="9"/>
      <c r="J379" s="5"/>
      <c r="K379" s="5"/>
      <c r="L379" s="9"/>
      <c r="M379" s="5">
        <f t="shared" si="31"/>
        <v>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26" t="str">
        <f t="shared" si="26"/>
        <v>#DIV/0!</v>
      </c>
      <c r="E380" s="9"/>
      <c r="F380" s="9"/>
      <c r="G380" s="5"/>
      <c r="H380" s="5"/>
      <c r="I380" s="9"/>
      <c r="J380" s="5"/>
      <c r="K380" s="5"/>
      <c r="L380" s="9"/>
      <c r="M380" s="5">
        <f t="shared" si="31"/>
        <v>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26" t="str">
        <f t="shared" si="26"/>
        <v>#DIV/0!</v>
      </c>
      <c r="E381" s="9"/>
      <c r="F381" s="9"/>
      <c r="G381" s="5"/>
      <c r="H381" s="5"/>
      <c r="I381" s="9"/>
      <c r="J381" s="5"/>
      <c r="K381" s="5"/>
      <c r="L381" s="9"/>
      <c r="M381" s="5">
        <f t="shared" si="31"/>
        <v>0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26" t="str">
        <f t="shared" si="26"/>
        <v>#DIV/0!</v>
      </c>
      <c r="E382" s="9"/>
      <c r="F382" s="9"/>
      <c r="G382" s="5"/>
      <c r="H382" s="5"/>
      <c r="I382" s="9"/>
      <c r="J382" s="5"/>
      <c r="K382" s="5"/>
      <c r="L382" s="9"/>
      <c r="M382" s="5">
        <f t="shared" si="31"/>
        <v>0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26" t="str">
        <f t="shared" si="26"/>
        <v>#DIV/0!</v>
      </c>
      <c r="E383" s="9"/>
      <c r="F383" s="9"/>
      <c r="G383" s="5">
        <v>0.0</v>
      </c>
      <c r="H383" s="5">
        <v>0.0</v>
      </c>
      <c r="I383" s="9"/>
      <c r="J383" s="5">
        <v>0.0</v>
      </c>
      <c r="K383" s="5">
        <v>0.0</v>
      </c>
      <c r="L383" s="9"/>
      <c r="M383" s="5">
        <f t="shared" si="31"/>
        <v>0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26" t="str">
        <f t="shared" si="26"/>
        <v>#DIV/0!</v>
      </c>
      <c r="E384" s="9"/>
      <c r="F384" s="9"/>
      <c r="G384" s="5"/>
      <c r="H384" s="5"/>
      <c r="I384" s="9"/>
      <c r="J384" s="5"/>
      <c r="K384" s="5"/>
      <c r="L384" s="9"/>
      <c r="M384" s="5">
        <f t="shared" si="31"/>
        <v>0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26" t="str">
        <f t="shared" si="26"/>
        <v>#DIV/0!</v>
      </c>
      <c r="E385" s="9"/>
      <c r="F385" s="9"/>
      <c r="G385" s="5"/>
      <c r="H385" s="5"/>
      <c r="I385" s="9"/>
      <c r="J385" s="5"/>
      <c r="K385" s="5"/>
      <c r="L385" s="9"/>
      <c r="M385" s="5">
        <f t="shared" si="31"/>
        <v>0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26" t="str">
        <f t="shared" si="26"/>
        <v>#DIV/0!</v>
      </c>
      <c r="E386" s="9"/>
      <c r="F386" s="9"/>
      <c r="G386" s="5"/>
      <c r="H386" s="5"/>
      <c r="I386" s="9"/>
      <c r="J386" s="5"/>
      <c r="K386" s="5"/>
      <c r="L386" s="9"/>
      <c r="M386" s="5">
        <f t="shared" si="31"/>
        <v>0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26" t="str">
        <f t="shared" si="26"/>
        <v>#DIV/0!</v>
      </c>
      <c r="E387" s="9"/>
      <c r="F387" s="9"/>
      <c r="G387" s="5"/>
      <c r="H387" s="5"/>
      <c r="I387" s="9"/>
      <c r="J387" s="5"/>
      <c r="K387" s="5"/>
      <c r="L387" s="9"/>
      <c r="M387" s="5">
        <f t="shared" si="31"/>
        <v>0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26" t="str">
        <f t="shared" si="26"/>
        <v>#DIV/0!</v>
      </c>
      <c r="E388" s="9"/>
      <c r="F388" s="9"/>
      <c r="G388" s="5"/>
      <c r="H388" s="5"/>
      <c r="I388" s="9"/>
      <c r="J388" s="5"/>
      <c r="K388" s="5"/>
      <c r="L388" s="9"/>
      <c r="M388" s="5">
        <f t="shared" si="31"/>
        <v>0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26" t="str">
        <f t="shared" si="26"/>
        <v>#DIV/0!</v>
      </c>
      <c r="E389" s="9"/>
      <c r="F389" s="9"/>
      <c r="G389" s="5"/>
      <c r="H389" s="5"/>
      <c r="I389" s="9"/>
      <c r="J389" s="5"/>
      <c r="K389" s="5"/>
      <c r="L389" s="9"/>
      <c r="M389" s="5">
        <f t="shared" si="31"/>
        <v>0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26" t="str">
        <f t="shared" si="26"/>
        <v>#DIV/0!</v>
      </c>
      <c r="E390" s="9"/>
      <c r="F390" s="9"/>
      <c r="G390" s="5">
        <v>0.0</v>
      </c>
      <c r="H390" s="5">
        <v>0.0</v>
      </c>
      <c r="I390" s="9"/>
      <c r="J390" s="5">
        <v>0.0</v>
      </c>
      <c r="K390" s="5">
        <v>0.0</v>
      </c>
      <c r="L390" s="9"/>
      <c r="M390" s="5">
        <f t="shared" si="31"/>
        <v>0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26" t="str">
        <f t="shared" si="26"/>
        <v>#DIV/0!</v>
      </c>
      <c r="E391" s="9"/>
      <c r="F391" s="9"/>
      <c r="G391" s="5"/>
      <c r="H391" s="5"/>
      <c r="I391" s="9"/>
      <c r="J391" s="5"/>
      <c r="K391" s="5"/>
      <c r="L391" s="9"/>
      <c r="M391" s="5">
        <f t="shared" si="31"/>
        <v>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26" t="str">
        <f t="shared" si="26"/>
        <v>#DIV/0!</v>
      </c>
      <c r="E392" s="9"/>
      <c r="F392" s="9"/>
      <c r="G392" s="5"/>
      <c r="H392" s="5"/>
      <c r="I392" s="9"/>
      <c r="J392" s="5"/>
      <c r="K392" s="5"/>
      <c r="L392" s="9"/>
      <c r="M392" s="5">
        <f t="shared" si="31"/>
        <v>0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26" t="str">
        <f t="shared" si="26"/>
        <v>#DIV/0!</v>
      </c>
      <c r="E393" s="9"/>
      <c r="F393" s="9"/>
      <c r="G393" s="5"/>
      <c r="H393" s="5"/>
      <c r="I393" s="9"/>
      <c r="J393" s="5"/>
      <c r="K393" s="5"/>
      <c r="L393" s="9"/>
      <c r="M393" s="5">
        <f t="shared" si="31"/>
        <v>0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26" t="str">
        <f t="shared" si="26"/>
        <v>#DIV/0!</v>
      </c>
      <c r="E394" s="9"/>
      <c r="F394" s="9"/>
      <c r="G394" s="5"/>
      <c r="H394" s="5"/>
      <c r="I394" s="9"/>
      <c r="J394" s="5"/>
      <c r="K394" s="5"/>
      <c r="L394" s="9"/>
      <c r="M394" s="5">
        <f t="shared" si="31"/>
        <v>0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26" t="str">
        <f t="shared" si="26"/>
        <v>#DIV/0!</v>
      </c>
      <c r="E395" s="9"/>
      <c r="F395" s="9"/>
      <c r="G395" s="5"/>
      <c r="H395" s="5"/>
      <c r="I395" s="9"/>
      <c r="J395" s="5"/>
      <c r="K395" s="5"/>
      <c r="L395" s="9"/>
      <c r="M395" s="5">
        <f t="shared" si="31"/>
        <v>0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26" t="str">
        <f t="shared" si="26"/>
        <v>#DIV/0!</v>
      </c>
      <c r="E396" s="9"/>
      <c r="F396" s="9"/>
      <c r="G396" s="5"/>
      <c r="H396" s="5"/>
      <c r="I396" s="9"/>
      <c r="J396" s="5"/>
      <c r="K396" s="5"/>
      <c r="L396" s="9"/>
      <c r="M396" s="5">
        <f t="shared" si="31"/>
        <v>0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26" t="str">
        <f t="shared" si="26"/>
        <v>#DIV/0!</v>
      </c>
      <c r="E397" s="9"/>
      <c r="F397" s="9"/>
      <c r="G397" s="5">
        <v>0.0</v>
      </c>
      <c r="H397" s="5">
        <v>0.0</v>
      </c>
      <c r="I397" s="9"/>
      <c r="J397" s="5">
        <v>0.0</v>
      </c>
      <c r="K397" s="5">
        <v>0.0</v>
      </c>
      <c r="L397" s="9"/>
      <c r="M397" s="5">
        <f t="shared" si="31"/>
        <v>0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26" t="str">
        <f t="shared" si="26"/>
        <v>#DIV/0!</v>
      </c>
      <c r="E398" s="9"/>
      <c r="F398" s="9"/>
      <c r="G398" s="5"/>
      <c r="H398" s="5"/>
      <c r="I398" s="9"/>
      <c r="J398" s="5"/>
      <c r="K398" s="5"/>
      <c r="L398" s="9"/>
      <c r="M398" s="5">
        <f t="shared" si="31"/>
        <v>0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26" t="str">
        <f t="shared" si="26"/>
        <v>#DIV/0!</v>
      </c>
      <c r="E399" s="9"/>
      <c r="F399" s="9"/>
      <c r="G399" s="5"/>
      <c r="H399" s="5"/>
      <c r="I399" s="9"/>
      <c r="J399" s="5"/>
      <c r="K399" s="5"/>
      <c r="L399" s="9"/>
      <c r="M399" s="5">
        <f t="shared" si="31"/>
        <v>0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26" t="str">
        <f t="shared" si="26"/>
        <v>#DIV/0!</v>
      </c>
      <c r="E400" s="9"/>
      <c r="F400" s="9"/>
      <c r="G400" s="5"/>
      <c r="H400" s="5"/>
      <c r="I400" s="9"/>
      <c r="J400" s="5"/>
      <c r="K400" s="5"/>
      <c r="L400" s="9"/>
      <c r="M400" s="5">
        <f t="shared" si="31"/>
        <v>0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26" t="str">
        <f t="shared" si="26"/>
        <v>#DIV/0!</v>
      </c>
      <c r="E401" s="9"/>
      <c r="F401" s="9"/>
      <c r="G401" s="5"/>
      <c r="H401" s="5"/>
      <c r="I401" s="9"/>
      <c r="J401" s="5"/>
      <c r="K401" s="5"/>
      <c r="L401" s="9"/>
      <c r="M401" s="5">
        <f t="shared" si="31"/>
        <v>0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26" t="str">
        <f t="shared" si="26"/>
        <v>#DIV/0!</v>
      </c>
      <c r="E402" s="9"/>
      <c r="F402" s="9"/>
      <c r="G402" s="5"/>
      <c r="H402" s="5"/>
      <c r="I402" s="9"/>
      <c r="J402" s="5"/>
      <c r="K402" s="5"/>
      <c r="L402" s="9"/>
      <c r="M402" s="5">
        <f t="shared" si="31"/>
        <v>0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26" t="str">
        <f t="shared" si="26"/>
        <v>#DIV/0!</v>
      </c>
      <c r="E403" s="9"/>
      <c r="F403" s="9"/>
      <c r="G403" s="5"/>
      <c r="H403" s="5"/>
      <c r="I403" s="9"/>
      <c r="J403" s="5"/>
      <c r="K403" s="5"/>
      <c r="L403" s="9"/>
      <c r="M403" s="5">
        <f t="shared" si="31"/>
        <v>0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26" t="str">
        <f t="shared" si="26"/>
        <v>#DIV/0!</v>
      </c>
      <c r="E404" s="9"/>
      <c r="F404" s="9"/>
      <c r="G404" s="5">
        <v>0.0</v>
      </c>
      <c r="H404" s="5">
        <v>0.0</v>
      </c>
      <c r="I404" s="9"/>
      <c r="J404" s="5">
        <v>0.0</v>
      </c>
      <c r="K404" s="5">
        <v>0.0</v>
      </c>
      <c r="L404" s="9"/>
      <c r="M404" s="5">
        <f t="shared" si="31"/>
        <v>0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26" t="str">
        <f t="shared" si="26"/>
        <v>#DIV/0!</v>
      </c>
      <c r="E405" s="9"/>
      <c r="F405" s="9"/>
      <c r="G405" s="5"/>
      <c r="H405" s="5"/>
      <c r="I405" s="9"/>
      <c r="J405" s="5"/>
      <c r="K405" s="5"/>
      <c r="L405" s="9"/>
      <c r="M405" s="5">
        <f t="shared" si="31"/>
        <v>0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26" t="str">
        <f t="shared" si="26"/>
        <v>#DIV/0!</v>
      </c>
      <c r="E406" s="9"/>
      <c r="F406" s="9"/>
      <c r="G406" s="5"/>
      <c r="H406" s="5"/>
      <c r="I406" s="9"/>
      <c r="J406" s="5"/>
      <c r="K406" s="5"/>
      <c r="L406" s="9"/>
      <c r="M406" s="5">
        <f t="shared" si="31"/>
        <v>0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26" t="str">
        <f t="shared" si="26"/>
        <v>#DIV/0!</v>
      </c>
      <c r="E407" s="9"/>
      <c r="F407" s="9"/>
      <c r="G407" s="5"/>
      <c r="H407" s="5"/>
      <c r="I407" s="9"/>
      <c r="J407" s="5"/>
      <c r="K407" s="5"/>
      <c r="L407" s="9"/>
      <c r="M407" s="5">
        <f t="shared" si="31"/>
        <v>0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26" t="str">
        <f t="shared" si="26"/>
        <v>#DIV/0!</v>
      </c>
      <c r="E408" s="9"/>
      <c r="F408" s="9"/>
      <c r="G408" s="5"/>
      <c r="H408" s="5"/>
      <c r="I408" s="9"/>
      <c r="J408" s="5"/>
      <c r="K408" s="5"/>
      <c r="L408" s="9"/>
      <c r="M408" s="5">
        <f t="shared" si="31"/>
        <v>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26" t="str">
        <f t="shared" si="26"/>
        <v>#DIV/0!</v>
      </c>
      <c r="E409" s="9"/>
      <c r="F409" s="9"/>
      <c r="G409" s="5"/>
      <c r="H409" s="5"/>
      <c r="I409" s="9"/>
      <c r="J409" s="5"/>
      <c r="K409" s="5"/>
      <c r="L409" s="9"/>
      <c r="M409" s="5">
        <f t="shared" si="31"/>
        <v>0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26" t="str">
        <f t="shared" si="26"/>
        <v>#DIV/0!</v>
      </c>
      <c r="E410" s="9"/>
      <c r="F410" s="9"/>
      <c r="G410" s="5"/>
      <c r="H410" s="5"/>
      <c r="I410" s="9"/>
      <c r="J410" s="5"/>
      <c r="K410" s="5"/>
      <c r="L410" s="9"/>
      <c r="M410" s="5">
        <f t="shared" si="31"/>
        <v>0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26" t="str">
        <f t="shared" si="26"/>
        <v>#DIV/0!</v>
      </c>
      <c r="E411" s="9"/>
      <c r="F411" s="9"/>
      <c r="G411" s="5">
        <v>0.0</v>
      </c>
      <c r="H411" s="5">
        <v>0.0</v>
      </c>
      <c r="I411" s="9"/>
      <c r="J411" s="5">
        <v>0.0</v>
      </c>
      <c r="K411" s="5">
        <v>0.0</v>
      </c>
      <c r="L411" s="9"/>
      <c r="M411" s="5">
        <f t="shared" si="31"/>
        <v>0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26" t="str">
        <f t="shared" si="26"/>
        <v>#DIV/0!</v>
      </c>
      <c r="E412" s="9"/>
      <c r="F412" s="9"/>
      <c r="G412" s="5"/>
      <c r="H412" s="5"/>
      <c r="I412" s="9"/>
      <c r="J412" s="5"/>
      <c r="K412" s="5"/>
      <c r="L412" s="9"/>
      <c r="M412" s="5">
        <f t="shared" si="31"/>
        <v>0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26" t="str">
        <f t="shared" si="26"/>
        <v>#DIV/0!</v>
      </c>
      <c r="E413" s="9"/>
      <c r="F413" s="9"/>
      <c r="G413" s="5"/>
      <c r="H413" s="5"/>
      <c r="I413" s="9"/>
      <c r="J413" s="5"/>
      <c r="K413" s="5"/>
      <c r="L413" s="9"/>
      <c r="M413" s="5">
        <f t="shared" si="31"/>
        <v>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26" t="str">
        <f t="shared" si="26"/>
        <v>#DIV/0!</v>
      </c>
      <c r="E414" s="9"/>
      <c r="F414" s="9"/>
      <c r="G414" s="5"/>
      <c r="H414" s="5"/>
      <c r="I414" s="9"/>
      <c r="J414" s="5"/>
      <c r="K414" s="5"/>
      <c r="L414" s="9"/>
      <c r="M414" s="5">
        <f t="shared" si="31"/>
        <v>0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26" t="str">
        <f t="shared" si="26"/>
        <v>#DIV/0!</v>
      </c>
      <c r="E415" s="9"/>
      <c r="F415" s="9"/>
      <c r="G415" s="5"/>
      <c r="H415" s="5"/>
      <c r="I415" s="9"/>
      <c r="J415" s="5"/>
      <c r="K415" s="5"/>
      <c r="L415" s="9"/>
      <c r="M415" s="5">
        <f t="shared" si="31"/>
        <v>0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26" t="str">
        <f t="shared" si="26"/>
        <v>#DIV/0!</v>
      </c>
      <c r="E416" s="9"/>
      <c r="F416" s="9"/>
      <c r="G416" s="5"/>
      <c r="H416" s="5"/>
      <c r="I416" s="9"/>
      <c r="J416" s="5"/>
      <c r="K416" s="5"/>
      <c r="L416" s="9"/>
      <c r="M416" s="5">
        <f t="shared" si="31"/>
        <v>0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26" t="str">
        <f t="shared" si="26"/>
        <v>#DIV/0!</v>
      </c>
      <c r="E417" s="9"/>
      <c r="F417" s="9"/>
      <c r="G417" s="5"/>
      <c r="H417" s="5"/>
      <c r="I417" s="9"/>
      <c r="J417" s="5"/>
      <c r="K417" s="5"/>
      <c r="L417" s="9"/>
      <c r="M417" s="5">
        <f t="shared" si="31"/>
        <v>0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26" t="str">
        <f t="shared" si="26"/>
        <v>#DIV/0!</v>
      </c>
      <c r="E418" s="9"/>
      <c r="F418" s="9"/>
      <c r="G418" s="5">
        <v>0.0</v>
      </c>
      <c r="H418" s="5">
        <v>0.0</v>
      </c>
      <c r="I418" s="9"/>
      <c r="J418" s="5">
        <v>0.0</v>
      </c>
      <c r="K418" s="5">
        <v>0.0</v>
      </c>
      <c r="L418" s="9"/>
      <c r="M418" s="5">
        <f t="shared" si="31"/>
        <v>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5"/>
      <c r="H419" s="5"/>
      <c r="I419" s="9"/>
      <c r="J419" s="5"/>
      <c r="K419" s="5"/>
      <c r="L419" s="9"/>
      <c r="M419" s="5">
        <f t="shared" si="31"/>
        <v>0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5"/>
      <c r="H420" s="5"/>
      <c r="I420" s="9"/>
      <c r="J420" s="5"/>
      <c r="K420" s="5"/>
      <c r="L420" s="9"/>
      <c r="M420" s="5">
        <f t="shared" si="31"/>
        <v>0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5"/>
      <c r="H421" s="5"/>
      <c r="I421" s="9"/>
      <c r="J421" s="5"/>
      <c r="K421" s="5"/>
      <c r="L421" s="9"/>
      <c r="M421" s="5">
        <f t="shared" si="31"/>
        <v>0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5"/>
      <c r="H422" s="5"/>
      <c r="I422" s="9"/>
      <c r="J422" s="5"/>
      <c r="K422" s="5"/>
      <c r="L422" s="9"/>
      <c r="M422" s="5">
        <f t="shared" si="31"/>
        <v>0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5"/>
      <c r="H423" s="5"/>
      <c r="I423" s="9"/>
      <c r="J423" s="5"/>
      <c r="K423" s="5"/>
      <c r="L423" s="9"/>
      <c r="M423" s="5">
        <f t="shared" si="31"/>
        <v>0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5"/>
      <c r="H424" s="5"/>
      <c r="I424" s="9"/>
      <c r="J424" s="5"/>
      <c r="K424" s="5"/>
      <c r="L424" s="9"/>
      <c r="M424" s="5">
        <f t="shared" si="31"/>
        <v>0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5">
        <v>0.0</v>
      </c>
      <c r="H425" s="5">
        <v>0.0</v>
      </c>
      <c r="I425" s="9"/>
      <c r="J425" s="5">
        <v>0.0</v>
      </c>
      <c r="K425" s="5">
        <v>0.0</v>
      </c>
      <c r="L425" s="9"/>
      <c r="M425" s="5">
        <f t="shared" si="31"/>
        <v>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5"/>
      <c r="H426" s="5"/>
      <c r="I426" s="9"/>
      <c r="J426" s="9"/>
      <c r="K426" s="9"/>
      <c r="L426" s="9"/>
      <c r="M426" s="5">
        <f t="shared" si="31"/>
        <v>0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5"/>
      <c r="H427" s="5"/>
      <c r="I427" s="9"/>
      <c r="J427" s="9"/>
      <c r="K427" s="9"/>
      <c r="L427" s="9"/>
      <c r="M427" s="5">
        <f t="shared" si="31"/>
        <v>0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5"/>
      <c r="H428" s="5"/>
      <c r="I428" s="9"/>
      <c r="J428" s="9"/>
      <c r="K428" s="9"/>
      <c r="L428" s="9"/>
      <c r="M428" s="5">
        <f t="shared" si="31"/>
        <v>0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5"/>
      <c r="H429" s="5"/>
      <c r="I429" s="9"/>
      <c r="J429" s="9"/>
      <c r="K429" s="9"/>
      <c r="L429" s="9"/>
      <c r="M429" s="5">
        <f t="shared" si="31"/>
        <v>0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5"/>
      <c r="H430" s="5"/>
      <c r="I430" s="9"/>
      <c r="J430" s="9"/>
      <c r="K430" s="9"/>
      <c r="L430" s="9"/>
      <c r="M430" s="5">
        <f t="shared" si="31"/>
        <v>0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5"/>
      <c r="H431" s="5"/>
      <c r="I431" s="9"/>
      <c r="J431" s="9"/>
      <c r="K431" s="9"/>
      <c r="L431" s="9"/>
      <c r="M431" s="5">
        <f t="shared" si="31"/>
        <v>0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5">
        <v>0.0</v>
      </c>
      <c r="H432" s="5">
        <v>0.0</v>
      </c>
      <c r="I432" s="9"/>
      <c r="J432" s="9"/>
      <c r="K432" s="9"/>
      <c r="L432" s="9"/>
      <c r="M432" s="5">
        <f t="shared" si="31"/>
        <v>0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5">
        <f t="shared" si="31"/>
        <v>0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5">
        <f t="shared" si="31"/>
        <v>0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5">
        <f t="shared" si="31"/>
        <v>0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5">
        <f t="shared" si="31"/>
        <v>0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5">
        <f t="shared" si="31"/>
        <v>0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5">
        <f t="shared" si="31"/>
        <v>0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5">
        <f t="shared" si="31"/>
        <v>0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5">
        <f t="shared" si="31"/>
        <v>0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5">
        <f t="shared" si="31"/>
        <v>0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5">
        <f t="shared" si="31"/>
        <v>0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5">
        <f t="shared" si="31"/>
        <v>0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5">
        <f t="shared" si="31"/>
        <v>0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5">
        <f t="shared" si="31"/>
        <v>0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5">
        <f t="shared" si="31"/>
        <v>0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5">
        <f t="shared" si="31"/>
        <v>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5">
        <f t="shared" si="31"/>
        <v>0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5">
        <f t="shared" si="31"/>
        <v>0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5">
        <f t="shared" si="31"/>
        <v>0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5">
        <f t="shared" si="31"/>
        <v>0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5">
        <f t="shared" si="31"/>
        <v>0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5">
        <f t="shared" si="31"/>
        <v>0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5">
        <f t="shared" si="31"/>
        <v>0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5">
        <f t="shared" si="31"/>
        <v>0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5">
        <f t="shared" si="31"/>
        <v>0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5">
        <f t="shared" si="31"/>
        <v>0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5">
        <f t="shared" si="31"/>
        <v>0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5">
        <f t="shared" si="31"/>
        <v>0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5">
        <f t="shared" si="31"/>
        <v>0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5">
        <f t="shared" si="31"/>
        <v>0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5">
        <f t="shared" si="31"/>
        <v>0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5">
        <f t="shared" si="31"/>
        <v>0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5">
        <f t="shared" si="31"/>
        <v>0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5">
        <f t="shared" si="31"/>
        <v>0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5">
        <f t="shared" si="31"/>
        <v>0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5">
        <f t="shared" si="31"/>
        <v>0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5">
        <f t="shared" si="31"/>
        <v>0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5">
        <f t="shared" si="31"/>
        <v>0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5">
        <f t="shared" si="31"/>
        <v>0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5">
        <f t="shared" si="31"/>
        <v>0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5">
        <f t="shared" si="31"/>
        <v>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5">
        <f t="shared" si="31"/>
        <v>0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5">
        <f t="shared" si="31"/>
        <v>0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5">
        <f t="shared" si="31"/>
        <v>0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5">
        <f t="shared" si="31"/>
        <v>0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5">
        <f t="shared" si="31"/>
        <v>0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5">
        <f t="shared" si="31"/>
        <v>0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5">
        <f t="shared" si="31"/>
        <v>0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5">
        <f t="shared" si="31"/>
        <v>0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5">
        <f t="shared" si="31"/>
        <v>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</sheetData>
  <mergeCells count="382">
    <mergeCell ref="E3:E5"/>
    <mergeCell ref="F3:G3"/>
    <mergeCell ref="F4:F5"/>
    <mergeCell ref="G4:G5"/>
    <mergeCell ref="H3:H5"/>
    <mergeCell ref="I3:I5"/>
    <mergeCell ref="J3:L3"/>
    <mergeCell ref="M3:M5"/>
    <mergeCell ref="J4:J5"/>
    <mergeCell ref="K4:K5"/>
    <mergeCell ref="L4:L5"/>
    <mergeCell ref="A1:D1"/>
    <mergeCell ref="O1:P1"/>
    <mergeCell ref="A2:Q2"/>
    <mergeCell ref="A3:A5"/>
    <mergeCell ref="B3:B5"/>
    <mergeCell ref="C3:C5"/>
    <mergeCell ref="D3:D5"/>
    <mergeCell ref="Q4:Q5"/>
    <mergeCell ref="N3:N5"/>
    <mergeCell ref="O4:P5"/>
    <mergeCell ref="O6:P6"/>
    <mergeCell ref="O7:P7"/>
    <mergeCell ref="O8:P8"/>
    <mergeCell ref="O9:P9"/>
    <mergeCell ref="O10:P10"/>
    <mergeCell ref="O25:P25"/>
    <mergeCell ref="O26:P26"/>
    <mergeCell ref="O27:P27"/>
    <mergeCell ref="A28:Q28"/>
    <mergeCell ref="O29:P29"/>
    <mergeCell ref="O30:P30"/>
    <mergeCell ref="A60:Q6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0:P260"/>
    <mergeCell ref="O261:P261"/>
    <mergeCell ref="O262:P262"/>
    <mergeCell ref="O263:P263"/>
    <mergeCell ref="O313:P313"/>
    <mergeCell ref="O314:P314"/>
    <mergeCell ref="O315:P315"/>
    <mergeCell ref="O316:P316"/>
    <mergeCell ref="O317:P317"/>
    <mergeCell ref="O318:P318"/>
    <mergeCell ref="O319:P319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0:P350"/>
    <mergeCell ref="O351:P351"/>
    <mergeCell ref="O352:P352"/>
    <mergeCell ref="O353:P353"/>
    <mergeCell ref="O354:P354"/>
    <mergeCell ref="O362:P362"/>
    <mergeCell ref="O363:P363"/>
    <mergeCell ref="O364:P364"/>
    <mergeCell ref="O365:P365"/>
    <mergeCell ref="O366:P366"/>
    <mergeCell ref="O367:P367"/>
    <mergeCell ref="O355:P355"/>
    <mergeCell ref="O356:P356"/>
    <mergeCell ref="O357:P357"/>
    <mergeCell ref="O358:P358"/>
    <mergeCell ref="O359:P359"/>
    <mergeCell ref="O360:P360"/>
    <mergeCell ref="O361:P361"/>
    <mergeCell ref="O264:P264"/>
    <mergeCell ref="O265:P265"/>
    <mergeCell ref="O266:P266"/>
    <mergeCell ref="O267:P267"/>
    <mergeCell ref="O268:P268"/>
    <mergeCell ref="O269:P269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0:P310"/>
    <mergeCell ref="O311:P311"/>
    <mergeCell ref="O312:P3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7.13"/>
    <col customWidth="1" min="2" max="2" width="11.63"/>
    <col customWidth="1" min="3" max="3" width="10.88"/>
    <col customWidth="1" min="5" max="5" width="12.5"/>
    <col customWidth="1" min="12" max="12" width="21.0"/>
    <col customWidth="1" min="13" max="13" width="17.38"/>
    <col customWidth="1" min="14" max="14" width="20.88"/>
  </cols>
  <sheetData>
    <row r="1">
      <c r="A1" s="38" t="s">
        <v>55</v>
      </c>
      <c r="B1" s="2"/>
      <c r="C1" s="2"/>
      <c r="D1" s="8"/>
      <c r="E1" s="39" t="s">
        <v>1</v>
      </c>
      <c r="F1" s="39" t="s">
        <v>1</v>
      </c>
      <c r="G1" s="39"/>
      <c r="H1" s="39" t="s">
        <v>1</v>
      </c>
      <c r="I1" s="39" t="s">
        <v>1</v>
      </c>
      <c r="J1" s="39"/>
      <c r="K1" s="39" t="s">
        <v>1</v>
      </c>
      <c r="L1" s="38"/>
      <c r="M1" s="8"/>
      <c r="N1" s="39" t="s">
        <v>2</v>
      </c>
      <c r="O1" s="9"/>
      <c r="P1" s="9"/>
      <c r="Q1" s="9"/>
      <c r="R1" s="9"/>
      <c r="S1" s="9"/>
      <c r="T1" s="9"/>
      <c r="U1" s="9"/>
      <c r="V1" s="9"/>
      <c r="W1" s="9"/>
      <c r="X1" s="9"/>
    </row>
    <row r="2" ht="30.0" customHeight="1">
      <c r="A2" s="40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8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41" t="s">
        <v>4</v>
      </c>
      <c r="B3" s="41" t="s">
        <v>5</v>
      </c>
      <c r="C3" s="42" t="s">
        <v>6</v>
      </c>
      <c r="D3" s="43" t="s">
        <v>9</v>
      </c>
      <c r="E3" s="8"/>
      <c r="F3" s="41" t="s">
        <v>10</v>
      </c>
      <c r="G3" s="41" t="s">
        <v>11</v>
      </c>
      <c r="H3" s="41" t="s">
        <v>56</v>
      </c>
      <c r="I3" s="41" t="s">
        <v>57</v>
      </c>
      <c r="J3" s="41" t="s">
        <v>58</v>
      </c>
      <c r="K3" s="41" t="s">
        <v>14</v>
      </c>
      <c r="L3" s="44" t="s">
        <v>15</v>
      </c>
      <c r="M3" s="45">
        <f>sum(K6:K1009)-454+2000+273-1205</f>
        <v>1516</v>
      </c>
      <c r="N3" s="46" t="s">
        <v>16</v>
      </c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7"/>
      <c r="B4" s="17"/>
      <c r="C4" s="17"/>
      <c r="D4" s="41" t="s">
        <v>17</v>
      </c>
      <c r="E4" s="41" t="s">
        <v>18</v>
      </c>
      <c r="F4" s="17"/>
      <c r="G4" s="17"/>
      <c r="H4" s="17"/>
      <c r="I4" s="17"/>
      <c r="J4" s="17"/>
      <c r="K4" s="17"/>
      <c r="L4" s="47" t="s">
        <v>59</v>
      </c>
      <c r="M4" s="19"/>
      <c r="N4" s="41" t="s">
        <v>23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3"/>
      <c r="N5" s="21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48">
        <v>45814.0</v>
      </c>
      <c r="B6" s="39" t="s">
        <v>27</v>
      </c>
      <c r="C6" s="39">
        <v>2000.0</v>
      </c>
      <c r="D6" s="49">
        <f t="shared" ref="D6:D7" si="1">sum(E6)+K6+N6</f>
        <v>2725</v>
      </c>
      <c r="E6" s="39">
        <v>2700.0</v>
      </c>
      <c r="F6" s="39">
        <v>764.0</v>
      </c>
      <c r="G6" s="49">
        <f t="shared" ref="G6:G7" si="2">sum(D6,F6)</f>
        <v>3489</v>
      </c>
      <c r="H6" s="39">
        <v>0.0</v>
      </c>
      <c r="I6" s="49">
        <f>H6+3206</f>
        <v>3206</v>
      </c>
      <c r="J6" s="49">
        <f t="shared" ref="J6:J7" si="3">G6-I6</f>
        <v>283</v>
      </c>
      <c r="K6" s="39">
        <v>25.0</v>
      </c>
      <c r="L6" s="50"/>
      <c r="M6" s="8"/>
      <c r="N6" s="3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48">
        <v>45815.0</v>
      </c>
      <c r="B7" s="39" t="s">
        <v>28</v>
      </c>
      <c r="C7" s="39">
        <v>1700.0</v>
      </c>
      <c r="D7" s="49">
        <f t="shared" si="1"/>
        <v>1260</v>
      </c>
      <c r="E7" s="39">
        <v>1200.0</v>
      </c>
      <c r="F7" s="39">
        <v>395.0</v>
      </c>
      <c r="G7" s="49">
        <f t="shared" si="2"/>
        <v>1655</v>
      </c>
      <c r="H7" s="39">
        <v>0.0</v>
      </c>
      <c r="I7" s="49">
        <f>H7+1673-26</f>
        <v>1647</v>
      </c>
      <c r="J7" s="49">
        <f t="shared" si="3"/>
        <v>8</v>
      </c>
      <c r="K7" s="39">
        <v>-15.0</v>
      </c>
      <c r="L7" s="50"/>
      <c r="M7" s="8"/>
      <c r="N7" s="49">
        <f>10+50+15</f>
        <v>75</v>
      </c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48">
        <v>45816.0</v>
      </c>
      <c r="B8" s="39" t="s">
        <v>29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0.0</v>
      </c>
      <c r="L8" s="50"/>
      <c r="M8" s="8"/>
      <c r="N8" s="4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48">
        <v>45817.0</v>
      </c>
      <c r="B9" s="39" t="s">
        <v>30</v>
      </c>
      <c r="C9" s="39">
        <v>2000.0</v>
      </c>
      <c r="D9" s="49">
        <f>sum(E9)+K9+N9</f>
        <v>2662</v>
      </c>
      <c r="E9" s="39">
        <v>2600.0</v>
      </c>
      <c r="F9" s="39">
        <v>52.0</v>
      </c>
      <c r="G9" s="49">
        <f t="shared" ref="G9:G26" si="4">sum(D9,F9)</f>
        <v>2714</v>
      </c>
      <c r="H9" s="39">
        <v>207.0</v>
      </c>
      <c r="I9" s="49">
        <f>H9+2547</f>
        <v>2754</v>
      </c>
      <c r="J9" s="49">
        <f t="shared" ref="J9:J30" si="5">G9-I9</f>
        <v>-40</v>
      </c>
      <c r="K9" s="39">
        <v>32.0</v>
      </c>
      <c r="L9" s="50"/>
      <c r="M9" s="8"/>
      <c r="N9" s="49">
        <f>10+20</f>
        <v>30</v>
      </c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48">
        <v>45818.0</v>
      </c>
      <c r="B10" s="39" t="s">
        <v>32</v>
      </c>
      <c r="C10" s="39">
        <f>1000-30</f>
        <v>970</v>
      </c>
      <c r="D10" s="49">
        <f>sum(E10)+K10+N10-1000</f>
        <v>1577</v>
      </c>
      <c r="E10" s="39">
        <f>2700-200+30</f>
        <v>2530</v>
      </c>
      <c r="F10" s="39">
        <v>1559.0</v>
      </c>
      <c r="G10" s="49">
        <f t="shared" si="4"/>
        <v>3136</v>
      </c>
      <c r="H10" s="39">
        <v>12.0</v>
      </c>
      <c r="I10" s="49">
        <f>H10+3008</f>
        <v>3020</v>
      </c>
      <c r="J10" s="49">
        <f t="shared" si="5"/>
        <v>116</v>
      </c>
      <c r="K10" s="49">
        <f>-10+80-70+10+5</f>
        <v>15</v>
      </c>
      <c r="L10" s="38" t="s">
        <v>60</v>
      </c>
      <c r="M10" s="8"/>
      <c r="N10" s="49">
        <f>10+20+2+0</f>
        <v>32</v>
      </c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48">
        <v>45819.0</v>
      </c>
      <c r="B11" s="39" t="s">
        <v>33</v>
      </c>
      <c r="C11" s="39">
        <v>1000.0</v>
      </c>
      <c r="D11" s="49">
        <f>sum(E11)+K11+N11+30</f>
        <v>2797</v>
      </c>
      <c r="E11" s="51">
        <v>2700.0</v>
      </c>
      <c r="F11" s="39">
        <v>2863.0</v>
      </c>
      <c r="G11" s="49">
        <f t="shared" si="4"/>
        <v>5660</v>
      </c>
      <c r="H11" s="39">
        <f>11+77+39</f>
        <v>127</v>
      </c>
      <c r="I11" s="49">
        <f>H11+5488</f>
        <v>5615</v>
      </c>
      <c r="J11" s="49">
        <f t="shared" si="5"/>
        <v>45</v>
      </c>
      <c r="K11" s="39">
        <v>47.0</v>
      </c>
      <c r="L11" s="38" t="s">
        <v>61</v>
      </c>
      <c r="M11" s="8"/>
      <c r="N11" s="39">
        <v>20.0</v>
      </c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48">
        <v>45820.0</v>
      </c>
      <c r="B12" s="39" t="s">
        <v>25</v>
      </c>
      <c r="C12" s="39">
        <v>1000.0</v>
      </c>
      <c r="D12" s="49">
        <f>sum(E12)+K12+N12</f>
        <v>1750</v>
      </c>
      <c r="E12" s="39">
        <v>1600.0</v>
      </c>
      <c r="F12" s="39">
        <v>1487.0</v>
      </c>
      <c r="G12" s="49">
        <f t="shared" si="4"/>
        <v>3237</v>
      </c>
      <c r="H12" s="49">
        <f>13+99+180+0</f>
        <v>292</v>
      </c>
      <c r="I12" s="49">
        <f>H12+2958</f>
        <v>3250</v>
      </c>
      <c r="J12" s="49">
        <f t="shared" si="5"/>
        <v>-13</v>
      </c>
      <c r="K12" s="39">
        <f>60-10</f>
        <v>50</v>
      </c>
      <c r="L12" s="50"/>
      <c r="M12" s="8"/>
      <c r="N12" s="39">
        <v>100.0</v>
      </c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48">
        <v>45821.0</v>
      </c>
      <c r="B13" s="39" t="s">
        <v>27</v>
      </c>
      <c r="C13" s="39">
        <v>800.0</v>
      </c>
      <c r="D13" s="49">
        <f>sum(E13)+K13+N13-200-450</f>
        <v>2847</v>
      </c>
      <c r="E13" s="39">
        <f>3500</f>
        <v>3500</v>
      </c>
      <c r="F13" s="39">
        <v>1491.0</v>
      </c>
      <c r="G13" s="49">
        <f t="shared" si="4"/>
        <v>4338</v>
      </c>
      <c r="H13" s="49">
        <f>808+11</f>
        <v>819</v>
      </c>
      <c r="I13" s="49">
        <f>H13+3327</f>
        <v>4146</v>
      </c>
      <c r="J13" s="49">
        <f t="shared" si="5"/>
        <v>192</v>
      </c>
      <c r="K13" s="39">
        <f>7-20</f>
        <v>-13</v>
      </c>
      <c r="L13" s="50">
        <f>sum(G6:G19)</f>
        <v>49239</v>
      </c>
      <c r="M13" s="8"/>
      <c r="N13" s="39">
        <v>10.0</v>
      </c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48">
        <v>45822.0</v>
      </c>
      <c r="B14" s="39" t="s">
        <v>28</v>
      </c>
      <c r="C14" s="39">
        <v>1000.0</v>
      </c>
      <c r="D14" s="49">
        <f>sum(E14)+K14+N14+200-138</f>
        <v>3679</v>
      </c>
      <c r="E14" s="39">
        <f>3600</f>
        <v>3600</v>
      </c>
      <c r="F14" s="39">
        <f> 5+12</f>
        <v>17</v>
      </c>
      <c r="G14" s="49">
        <f t="shared" si="4"/>
        <v>3696</v>
      </c>
      <c r="H14" s="49">
        <f>4+286</f>
        <v>290</v>
      </c>
      <c r="I14" s="49">
        <f>H14+3398</f>
        <v>3688</v>
      </c>
      <c r="J14" s="49">
        <f t="shared" si="5"/>
        <v>8</v>
      </c>
      <c r="K14" s="39">
        <v>17.0</v>
      </c>
      <c r="L14" s="50"/>
      <c r="M14" s="8"/>
      <c r="N14" s="39">
        <v>0.0</v>
      </c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48">
        <v>45823.0</v>
      </c>
      <c r="B15" s="39" t="s">
        <v>29</v>
      </c>
      <c r="C15" s="39">
        <v>1000.0</v>
      </c>
      <c r="D15" s="49">
        <f t="shared" ref="D15:D19" si="6">sum(E15)+K15+N15</f>
        <v>0</v>
      </c>
      <c r="E15" s="39">
        <v>0.0</v>
      </c>
      <c r="F15" s="39">
        <v>0.0</v>
      </c>
      <c r="G15" s="49">
        <f t="shared" si="4"/>
        <v>0</v>
      </c>
      <c r="H15" s="39">
        <v>0.0</v>
      </c>
      <c r="I15" s="49">
        <f>H15+0</f>
        <v>0</v>
      </c>
      <c r="J15" s="49">
        <f t="shared" si="5"/>
        <v>0</v>
      </c>
      <c r="K15" s="39">
        <v>0.0</v>
      </c>
      <c r="L15" s="50"/>
      <c r="M15" s="8"/>
      <c r="N15" s="39">
        <v>0.0</v>
      </c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48">
        <v>45824.0</v>
      </c>
      <c r="B16" s="39" t="s">
        <v>30</v>
      </c>
      <c r="C16" s="39">
        <v>1000.0</v>
      </c>
      <c r="D16" s="49">
        <f t="shared" si="6"/>
        <v>3395</v>
      </c>
      <c r="E16" s="49">
        <f>700+200+2500</f>
        <v>3400</v>
      </c>
      <c r="F16" s="39">
        <f>265+813</f>
        <v>1078</v>
      </c>
      <c r="G16" s="49">
        <f t="shared" si="4"/>
        <v>4473</v>
      </c>
      <c r="H16" s="39">
        <f>17+172</f>
        <v>189</v>
      </c>
      <c r="I16" s="49">
        <f>H16+5719-1754+35</f>
        <v>4189</v>
      </c>
      <c r="J16" s="49">
        <f t="shared" si="5"/>
        <v>284</v>
      </c>
      <c r="K16" s="39">
        <f>-5-30+20-10</f>
        <v>-25</v>
      </c>
      <c r="L16" s="38" t="s">
        <v>62</v>
      </c>
      <c r="M16" s="8"/>
      <c r="N16" s="39">
        <v>20.0</v>
      </c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48">
        <v>45825.0</v>
      </c>
      <c r="B17" s="39" t="s">
        <v>32</v>
      </c>
      <c r="C17" s="39">
        <v>1000.0</v>
      </c>
      <c r="D17" s="49">
        <f t="shared" si="6"/>
        <v>2836</v>
      </c>
      <c r="E17" s="39">
        <v>2700.0</v>
      </c>
      <c r="F17" s="39">
        <f>3735+1461</f>
        <v>5196</v>
      </c>
      <c r="G17" s="49">
        <f t="shared" si="4"/>
        <v>8032</v>
      </c>
      <c r="H17" s="39">
        <f>1893+7+125</f>
        <v>2025</v>
      </c>
      <c r="I17" s="39">
        <f>H17+ 6284+126</f>
        <v>8435</v>
      </c>
      <c r="J17" s="49">
        <f t="shared" si="5"/>
        <v>-403</v>
      </c>
      <c r="K17" s="39">
        <f>-10-10+100+6</f>
        <v>86</v>
      </c>
      <c r="L17" s="50"/>
      <c r="M17" s="8"/>
      <c r="N17" s="39">
        <v>50.0</v>
      </c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48">
        <v>45826.0</v>
      </c>
      <c r="B18" s="39" t="s">
        <v>33</v>
      </c>
      <c r="C18" s="39">
        <v>1000.0</v>
      </c>
      <c r="D18" s="49">
        <f t="shared" si="6"/>
        <v>3330</v>
      </c>
      <c r="E18" s="39">
        <f>3100-300+500</f>
        <v>3300</v>
      </c>
      <c r="F18" s="39">
        <f>341+77+50</f>
        <v>468</v>
      </c>
      <c r="G18" s="49">
        <f t="shared" si="4"/>
        <v>3798</v>
      </c>
      <c r="H18" s="39">
        <v>15.0</v>
      </c>
      <c r="I18" s="49">
        <f>H18+3670</f>
        <v>3685</v>
      </c>
      <c r="J18" s="49">
        <f t="shared" si="5"/>
        <v>113</v>
      </c>
      <c r="K18" s="39">
        <v>30.0</v>
      </c>
      <c r="L18" s="50"/>
      <c r="M18" s="8"/>
      <c r="N18" s="4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48">
        <v>45827.0</v>
      </c>
      <c r="B19" s="39" t="s">
        <v>25</v>
      </c>
      <c r="C19" s="39">
        <v>1000.0</v>
      </c>
      <c r="D19" s="49">
        <f t="shared" si="6"/>
        <v>2670</v>
      </c>
      <c r="E19" s="39">
        <v>2600.0</v>
      </c>
      <c r="F19" s="39">
        <v>2341.0</v>
      </c>
      <c r="G19" s="49">
        <f t="shared" si="4"/>
        <v>5011</v>
      </c>
      <c r="H19" s="39">
        <v>9.0</v>
      </c>
      <c r="I19" s="49">
        <f>H19+5031</f>
        <v>5040</v>
      </c>
      <c r="J19" s="49">
        <f t="shared" si="5"/>
        <v>-29</v>
      </c>
      <c r="K19" s="39">
        <f>-11+51+10</f>
        <v>50</v>
      </c>
      <c r="L19" s="50"/>
      <c r="M19" s="8"/>
      <c r="N19" s="39">
        <v>20.0</v>
      </c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48">
        <v>45828.0</v>
      </c>
      <c r="B20" s="39" t="s">
        <v>27</v>
      </c>
      <c r="C20" s="39">
        <v>1000.0</v>
      </c>
      <c r="D20" s="49">
        <f>sum(E20)+K20+N20-165</f>
        <v>3037</v>
      </c>
      <c r="E20" s="39">
        <v>3100.0</v>
      </c>
      <c r="F20" s="39">
        <v>1592.0</v>
      </c>
      <c r="G20" s="49">
        <f t="shared" si="4"/>
        <v>4629</v>
      </c>
      <c r="H20" s="49">
        <f>28+62+132+14+21</f>
        <v>257</v>
      </c>
      <c r="I20" s="49">
        <f>H20+4458-65</f>
        <v>4650</v>
      </c>
      <c r="J20" s="49">
        <f t="shared" si="5"/>
        <v>-21</v>
      </c>
      <c r="K20" s="39">
        <f>-44+74-20</f>
        <v>10</v>
      </c>
      <c r="L20" s="38" t="s">
        <v>63</v>
      </c>
      <c r="M20" s="8"/>
      <c r="N20" s="49">
        <f>20+50+22</f>
        <v>92</v>
      </c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48">
        <v>45829.0</v>
      </c>
      <c r="B21" s="39" t="s">
        <v>28</v>
      </c>
      <c r="C21" s="39">
        <v>1000.0</v>
      </c>
      <c r="D21" s="49">
        <f t="shared" ref="D21:D23" si="7">sum(E21)+K21+N21</f>
        <v>3415</v>
      </c>
      <c r="E21" s="39">
        <f>3700-530+231</f>
        <v>3401</v>
      </c>
      <c r="F21" s="39">
        <v>1812.0</v>
      </c>
      <c r="G21" s="49">
        <f t="shared" si="4"/>
        <v>5227</v>
      </c>
      <c r="H21" s="39">
        <f>396+231</f>
        <v>627</v>
      </c>
      <c r="I21" s="49">
        <f>H21+4509</f>
        <v>5136</v>
      </c>
      <c r="J21" s="49">
        <f t="shared" si="5"/>
        <v>91</v>
      </c>
      <c r="K21" s="39">
        <f>-60+8-4</f>
        <v>-56</v>
      </c>
      <c r="L21" s="50"/>
      <c r="M21" s="8"/>
      <c r="N21" s="49">
        <f>20+50</f>
        <v>70</v>
      </c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48">
        <v>45830.0</v>
      </c>
      <c r="B22" s="39" t="s">
        <v>29</v>
      </c>
      <c r="C22" s="39">
        <v>1000.0</v>
      </c>
      <c r="D22" s="49">
        <f t="shared" si="7"/>
        <v>0</v>
      </c>
      <c r="E22" s="39">
        <v>0.0</v>
      </c>
      <c r="F22" s="39">
        <v>0.0</v>
      </c>
      <c r="G22" s="49">
        <f t="shared" si="4"/>
        <v>0</v>
      </c>
      <c r="H22" s="39">
        <v>0.0</v>
      </c>
      <c r="I22" s="49">
        <f>H22+0</f>
        <v>0</v>
      </c>
      <c r="J22" s="49">
        <f t="shared" si="5"/>
        <v>0</v>
      </c>
      <c r="K22" s="39">
        <v>0.0</v>
      </c>
      <c r="L22" s="50"/>
      <c r="M22" s="8"/>
      <c r="N22" s="39">
        <v>0.0</v>
      </c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48">
        <v>45831.0</v>
      </c>
      <c r="B23" s="39" t="s">
        <v>30</v>
      </c>
      <c r="C23" s="39">
        <v>1000.0</v>
      </c>
      <c r="D23" s="49">
        <f t="shared" si="7"/>
        <v>2190</v>
      </c>
      <c r="E23" s="39">
        <v>2000.0</v>
      </c>
      <c r="F23" s="39">
        <f>3630+899</f>
        <v>4529</v>
      </c>
      <c r="G23" s="49">
        <f t="shared" si="4"/>
        <v>6719</v>
      </c>
      <c r="H23" s="39">
        <v>1.0</v>
      </c>
      <c r="I23" s="49">
        <f>H23+6920</f>
        <v>6921</v>
      </c>
      <c r="J23" s="49">
        <f t="shared" si="5"/>
        <v>-202</v>
      </c>
      <c r="K23" s="39">
        <f>100-20</f>
        <v>80</v>
      </c>
      <c r="L23" s="38" t="s">
        <v>64</v>
      </c>
      <c r="M23" s="8"/>
      <c r="N23" s="49">
        <f>20+30+10+50</f>
        <v>110</v>
      </c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48">
        <v>45832.0</v>
      </c>
      <c r="B24" s="39" t="s">
        <v>32</v>
      </c>
      <c r="C24" s="39">
        <v>1000.0</v>
      </c>
      <c r="D24" s="49">
        <f>sum(E24)+K24+N24-360+281</f>
        <v>2554</v>
      </c>
      <c r="E24" s="39">
        <v>2500.0</v>
      </c>
      <c r="F24" s="39">
        <f>2335+100</f>
        <v>2435</v>
      </c>
      <c r="G24" s="49">
        <f t="shared" si="4"/>
        <v>4989</v>
      </c>
      <c r="H24" s="49">
        <f>600+2</f>
        <v>602</v>
      </c>
      <c r="I24" s="49">
        <f>H24+4248</f>
        <v>4850</v>
      </c>
      <c r="J24" s="49">
        <f t="shared" si="5"/>
        <v>139</v>
      </c>
      <c r="K24" s="39">
        <v>3.0</v>
      </c>
      <c r="L24" s="50"/>
      <c r="M24" s="8"/>
      <c r="N24" s="49">
        <f>100+20+0+10</f>
        <v>130</v>
      </c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48">
        <v>45833.0</v>
      </c>
      <c r="B25" s="39" t="s">
        <v>33</v>
      </c>
      <c r="C25" s="39">
        <v>1000.0</v>
      </c>
      <c r="D25" s="49">
        <f>sum(E25)+K25+N25-275</f>
        <v>1701</v>
      </c>
      <c r="E25" s="39">
        <v>1900.0</v>
      </c>
      <c r="F25" s="39">
        <f>1496+60+66+99</f>
        <v>1721</v>
      </c>
      <c r="G25" s="49">
        <f t="shared" si="4"/>
        <v>3422</v>
      </c>
      <c r="H25" s="39">
        <f>217+3</f>
        <v>220</v>
      </c>
      <c r="I25" s="49">
        <f>H25+2974+60+66+99</f>
        <v>3419</v>
      </c>
      <c r="J25" s="49">
        <f t="shared" si="5"/>
        <v>3</v>
      </c>
      <c r="K25" s="39">
        <v>56.0</v>
      </c>
      <c r="L25" s="50"/>
      <c r="M25" s="8"/>
      <c r="N25" s="49">
        <f t="shared" ref="N25:N27" si="8">20</f>
        <v>20</v>
      </c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48">
        <v>45834.0</v>
      </c>
      <c r="B26" s="39" t="s">
        <v>25</v>
      </c>
      <c r="C26" s="39">
        <v>1000.0</v>
      </c>
      <c r="D26" s="49">
        <f>sum(E26)+K26+N26+630</f>
        <v>4033</v>
      </c>
      <c r="E26" s="39">
        <f>2500+500+400</f>
        <v>3400</v>
      </c>
      <c r="F26" s="39">
        <f>2978</f>
        <v>2978</v>
      </c>
      <c r="G26" s="49">
        <f t="shared" si="4"/>
        <v>7011</v>
      </c>
      <c r="H26" s="39">
        <f>368+60</f>
        <v>428</v>
      </c>
      <c r="I26" s="49">
        <f>H26+6578</f>
        <v>7006</v>
      </c>
      <c r="J26" s="49">
        <f t="shared" si="5"/>
        <v>5</v>
      </c>
      <c r="K26" s="39">
        <f>28-50+5</f>
        <v>-17</v>
      </c>
      <c r="L26" s="38" t="s">
        <v>65</v>
      </c>
      <c r="M26" s="8"/>
      <c r="N26" s="49">
        <f t="shared" si="8"/>
        <v>20</v>
      </c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48">
        <v>45835.0</v>
      </c>
      <c r="B27" s="39" t="s">
        <v>27</v>
      </c>
      <c r="C27" s="39">
        <v>1000.0</v>
      </c>
      <c r="D27" s="49">
        <f>sum(E27)+K27+N27+290</f>
        <v>3352</v>
      </c>
      <c r="E27" s="39">
        <v>3000.0</v>
      </c>
      <c r="F27" s="39">
        <v>3845.0</v>
      </c>
      <c r="G27" s="49">
        <f>sum(D27,F27)-899</f>
        <v>6298</v>
      </c>
      <c r="H27" s="39">
        <f>7+182+12</f>
        <v>201</v>
      </c>
      <c r="I27" s="49">
        <f>H27+5411+290</f>
        <v>5902</v>
      </c>
      <c r="J27" s="49">
        <f t="shared" si="5"/>
        <v>396</v>
      </c>
      <c r="K27" s="39">
        <v>42.0</v>
      </c>
      <c r="L27" s="50"/>
      <c r="M27" s="8"/>
      <c r="N27" s="49">
        <f t="shared" si="8"/>
        <v>20</v>
      </c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48">
        <v>45836.0</v>
      </c>
      <c r="B28" s="39" t="s">
        <v>28</v>
      </c>
      <c r="C28" s="39">
        <v>1000.0</v>
      </c>
      <c r="D28" s="49">
        <f t="shared" ref="D28:D29" si="9">sum(E28)+K28+N28</f>
        <v>4077</v>
      </c>
      <c r="E28" s="49">
        <f>1900+600+1000+587</f>
        <v>4087</v>
      </c>
      <c r="F28" s="39">
        <v>2338.0</v>
      </c>
      <c r="G28" s="49">
        <f t="shared" ref="G28:G30" si="10">sum(D28,F28)</f>
        <v>6415</v>
      </c>
      <c r="H28" s="49">
        <f>85+0</f>
        <v>85</v>
      </c>
      <c r="I28" s="49">
        <f>H28+6148</f>
        <v>6233</v>
      </c>
      <c r="J28" s="49">
        <f t="shared" si="5"/>
        <v>182</v>
      </c>
      <c r="K28" s="39">
        <f>-10-20+20</f>
        <v>-10</v>
      </c>
      <c r="L28" s="50"/>
      <c r="M28" s="8"/>
      <c r="N28" s="4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48">
        <v>45837.0</v>
      </c>
      <c r="B29" s="39" t="s">
        <v>29</v>
      </c>
      <c r="C29" s="39">
        <v>1000.0</v>
      </c>
      <c r="D29" s="49">
        <f t="shared" si="9"/>
        <v>0</v>
      </c>
      <c r="E29" s="39">
        <v>0.0</v>
      </c>
      <c r="F29" s="39">
        <v>0.0</v>
      </c>
      <c r="G29" s="49">
        <f t="shared" si="10"/>
        <v>0</v>
      </c>
      <c r="H29" s="39">
        <v>0.0</v>
      </c>
      <c r="I29" s="49">
        <f>H29+0</f>
        <v>0</v>
      </c>
      <c r="J29" s="49">
        <f t="shared" si="5"/>
        <v>0</v>
      </c>
      <c r="K29" s="39">
        <v>0.0</v>
      </c>
      <c r="L29" s="50">
        <f>sum(I6:I30)</f>
        <v>103376</v>
      </c>
      <c r="M29" s="8"/>
      <c r="N29" s="39">
        <v>0.0</v>
      </c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48">
        <v>45838.0</v>
      </c>
      <c r="B30" s="39" t="s">
        <v>30</v>
      </c>
      <c r="C30" s="39">
        <v>1000.0</v>
      </c>
      <c r="D30" s="49">
        <f>sum(E30)+K30+N30+992</f>
        <v>6948</v>
      </c>
      <c r="E30" s="39">
        <v>6000.0</v>
      </c>
      <c r="F30" s="39">
        <v>2665.0</v>
      </c>
      <c r="G30" s="49">
        <f t="shared" si="10"/>
        <v>9613</v>
      </c>
      <c r="H30" s="49">
        <f>36+0+84</f>
        <v>120</v>
      </c>
      <c r="I30" s="49">
        <f>H30+10464</f>
        <v>10584</v>
      </c>
      <c r="J30" s="49">
        <f t="shared" si="5"/>
        <v>-971</v>
      </c>
      <c r="K30" s="39">
        <f>-50-70-30-20-10+136</f>
        <v>-44</v>
      </c>
      <c r="L30" s="50"/>
      <c r="M30" s="8"/>
      <c r="N30" s="4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5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8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48">
        <v>45839.0</v>
      </c>
      <c r="B32" s="39" t="s">
        <v>32</v>
      </c>
      <c r="C32" s="39">
        <v>1000.0</v>
      </c>
      <c r="D32" s="49">
        <f>sum(E32)+K32+N32+60</f>
        <v>3420</v>
      </c>
      <c r="E32" s="39">
        <v>3300.0</v>
      </c>
      <c r="F32" s="39">
        <f>185+935</f>
        <v>1120</v>
      </c>
      <c r="G32" s="49">
        <f t="shared" ref="G32:G62" si="11">sum(D32,F32)</f>
        <v>4540</v>
      </c>
      <c r="H32" s="39">
        <f>3+60</f>
        <v>63</v>
      </c>
      <c r="I32" s="49">
        <f>H32+4315+185</f>
        <v>4563</v>
      </c>
      <c r="J32" s="49">
        <f>G32-I32</f>
        <v>-23</v>
      </c>
      <c r="K32" s="39">
        <v>20.0</v>
      </c>
      <c r="L32" s="38" t="s">
        <v>66</v>
      </c>
      <c r="M32" s="8"/>
      <c r="N32" s="39">
        <f>20+20</f>
        <v>40</v>
      </c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48">
        <v>45840.0</v>
      </c>
      <c r="B33" s="39" t="s">
        <v>33</v>
      </c>
      <c r="C33" s="39">
        <v>1000.0</v>
      </c>
      <c r="D33" s="49">
        <f t="shared" ref="D33:D34" si="12">sum(E33)+K33+N33</f>
        <v>2395</v>
      </c>
      <c r="E33" s="39">
        <f>3000-620</f>
        <v>2380</v>
      </c>
      <c r="F33" s="39">
        <f>4414+36</f>
        <v>4450</v>
      </c>
      <c r="G33" s="49">
        <f t="shared" si="11"/>
        <v>6845</v>
      </c>
      <c r="H33" s="39">
        <f>8+255+36</f>
        <v>299</v>
      </c>
      <c r="I33" s="39">
        <v>6448.0</v>
      </c>
      <c r="J33" s="49">
        <f t="shared" ref="J33:J34" si="13">G33-I33-H33</f>
        <v>98</v>
      </c>
      <c r="K33" s="39">
        <f>125-110</f>
        <v>15</v>
      </c>
      <c r="L33" s="50"/>
      <c r="M33" s="8"/>
      <c r="N33" s="4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48">
        <v>45841.0</v>
      </c>
      <c r="B34" s="39" t="s">
        <v>25</v>
      </c>
      <c r="C34" s="39">
        <v>1000.0</v>
      </c>
      <c r="D34" s="49">
        <f t="shared" si="12"/>
        <v>2776</v>
      </c>
      <c r="E34" s="39">
        <v>2600.0</v>
      </c>
      <c r="F34" s="39">
        <v>443.0</v>
      </c>
      <c r="G34" s="49">
        <f t="shared" si="11"/>
        <v>3219</v>
      </c>
      <c r="H34" s="49">
        <f>225+54+118+144+30+4</f>
        <v>575</v>
      </c>
      <c r="I34" s="39">
        <v>2625.0</v>
      </c>
      <c r="J34" s="49">
        <f t="shared" si="13"/>
        <v>19</v>
      </c>
      <c r="K34" s="49">
        <f>-60-50+106</f>
        <v>-4</v>
      </c>
      <c r="L34" s="50"/>
      <c r="M34" s="8"/>
      <c r="N34" s="49">
        <f>20+40+60+60</f>
        <v>180</v>
      </c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48">
        <v>45842.0</v>
      </c>
      <c r="B35" s="39" t="s">
        <v>27</v>
      </c>
      <c r="C35" s="39">
        <v>1000.0</v>
      </c>
      <c r="D35" s="49">
        <f>sum(E35)+K35+N35+583</f>
        <v>3123</v>
      </c>
      <c r="E35" s="39">
        <v>2500.0</v>
      </c>
      <c r="F35" s="39">
        <f>892+60</f>
        <v>952</v>
      </c>
      <c r="G35" s="49">
        <f t="shared" si="11"/>
        <v>4075</v>
      </c>
      <c r="H35" s="49">
        <f>17+51+153+10</f>
        <v>231</v>
      </c>
      <c r="I35" s="49">
        <f>H35+3888</f>
        <v>4119</v>
      </c>
      <c r="J35" s="49">
        <f t="shared" ref="J35:J51" si="14">G35-I35</f>
        <v>-44</v>
      </c>
      <c r="K35" s="39">
        <v>-110.0</v>
      </c>
      <c r="L35" s="50"/>
      <c r="M35" s="8"/>
      <c r="N35" s="49">
        <f>20+10+20+50+50</f>
        <v>150</v>
      </c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48">
        <v>45843.0</v>
      </c>
      <c r="B36" s="39" t="s">
        <v>28</v>
      </c>
      <c r="C36" s="39">
        <v>1000.0</v>
      </c>
      <c r="D36" s="49">
        <f>sum(E36)+K36+N36-130-84-110+447</f>
        <v>2633</v>
      </c>
      <c r="E36" s="39">
        <f>4200-1700</f>
        <v>2500</v>
      </c>
      <c r="F36" s="39">
        <f>5147+1700</f>
        <v>6847</v>
      </c>
      <c r="G36" s="49">
        <f t="shared" si="11"/>
        <v>9480</v>
      </c>
      <c r="H36" s="49">
        <f>10+225+60+170+90+16</f>
        <v>571</v>
      </c>
      <c r="I36" s="49">
        <f>H36+7961</f>
        <v>8532</v>
      </c>
      <c r="J36" s="49">
        <f t="shared" si="14"/>
        <v>948</v>
      </c>
      <c r="K36" s="49">
        <f>-20-10-20+40-30</f>
        <v>-40</v>
      </c>
      <c r="L36" s="50"/>
      <c r="M36" s="8"/>
      <c r="N36" s="39">
        <v>50.0</v>
      </c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48">
        <v>45844.0</v>
      </c>
      <c r="B37" s="39" t="s">
        <v>29</v>
      </c>
      <c r="C37" s="39">
        <v>1000.0</v>
      </c>
      <c r="D37" s="49">
        <f>sum(E37)+K37+N37</f>
        <v>0</v>
      </c>
      <c r="E37" s="39">
        <v>0.0</v>
      </c>
      <c r="F37" s="39">
        <v>0.0</v>
      </c>
      <c r="G37" s="49">
        <f t="shared" si="11"/>
        <v>0</v>
      </c>
      <c r="H37" s="39">
        <v>0.0</v>
      </c>
      <c r="I37" s="49">
        <f>H37+0</f>
        <v>0</v>
      </c>
      <c r="J37" s="49">
        <f t="shared" si="14"/>
        <v>0</v>
      </c>
      <c r="K37" s="39">
        <v>0.0</v>
      </c>
      <c r="L37" s="50"/>
      <c r="M37" s="8"/>
      <c r="N37" s="39">
        <v>0.0</v>
      </c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48">
        <v>45845.0</v>
      </c>
      <c r="B38" s="39" t="s">
        <v>30</v>
      </c>
      <c r="C38" s="39">
        <v>1000.0</v>
      </c>
      <c r="D38" s="49">
        <f>sum(E38)+K38+N38-345-350</f>
        <v>4383</v>
      </c>
      <c r="E38" s="39">
        <v>5200.0</v>
      </c>
      <c r="F38" s="39">
        <v>2927.0</v>
      </c>
      <c r="G38" s="49">
        <f t="shared" si="11"/>
        <v>7310</v>
      </c>
      <c r="H38" s="39">
        <f>263+63+42+19</f>
        <v>387</v>
      </c>
      <c r="I38" s="49">
        <f>H38+6914</f>
        <v>7301</v>
      </c>
      <c r="J38" s="49">
        <f t="shared" si="14"/>
        <v>9</v>
      </c>
      <c r="K38" s="39">
        <f>-160-30+78-10</f>
        <v>-122</v>
      </c>
      <c r="L38" s="50"/>
      <c r="M38" s="8"/>
      <c r="N38" s="4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48">
        <v>45846.0</v>
      </c>
      <c r="B39" s="39" t="s">
        <v>32</v>
      </c>
      <c r="C39" s="39">
        <v>1000.0</v>
      </c>
      <c r="D39" s="49">
        <f>sum(E39)+K39+N39+898+345-625-25</f>
        <v>3589</v>
      </c>
      <c r="E39" s="39">
        <v>2900.0</v>
      </c>
      <c r="F39" s="39">
        <v>1027.0</v>
      </c>
      <c r="G39" s="49">
        <f t="shared" si="11"/>
        <v>4616</v>
      </c>
      <c r="H39" s="49">
        <f>4+100</f>
        <v>104</v>
      </c>
      <c r="I39" s="49">
        <f>H39+4320</f>
        <v>4424</v>
      </c>
      <c r="J39" s="49">
        <f t="shared" si="14"/>
        <v>192</v>
      </c>
      <c r="K39" s="49">
        <f>-30-38+124</f>
        <v>56</v>
      </c>
      <c r="L39" s="38" t="s">
        <v>67</v>
      </c>
      <c r="M39" s="8"/>
      <c r="N39" s="39">
        <f>20+20</f>
        <v>40</v>
      </c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48">
        <v>45847.0</v>
      </c>
      <c r="B40" s="39" t="s">
        <v>33</v>
      </c>
      <c r="C40" s="39">
        <f>1000</f>
        <v>1000</v>
      </c>
      <c r="D40" s="49">
        <f>sum(E40)+K40+N40+522</f>
        <v>3118</v>
      </c>
      <c r="E40" s="39">
        <v>2500.0</v>
      </c>
      <c r="F40" s="39">
        <v>1161.0</v>
      </c>
      <c r="G40" s="49">
        <f t="shared" si="11"/>
        <v>4279</v>
      </c>
      <c r="H40" s="49">
        <f>408+6+72+34+132+60+63+140+280+110+0</f>
        <v>1305</v>
      </c>
      <c r="I40" s="49">
        <f>H40+2611+50</f>
        <v>3966</v>
      </c>
      <c r="J40" s="49">
        <f t="shared" si="14"/>
        <v>313</v>
      </c>
      <c r="K40" s="39">
        <f>-10-64+70+50</f>
        <v>46</v>
      </c>
      <c r="L40" s="38" t="s">
        <v>0</v>
      </c>
      <c r="M40" s="8"/>
      <c r="N40" s="49">
        <f>10+40</f>
        <v>50</v>
      </c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48">
        <v>45848.0</v>
      </c>
      <c r="B41" s="39" t="s">
        <v>25</v>
      </c>
      <c r="C41" s="39">
        <v>1000.0</v>
      </c>
      <c r="D41" s="49">
        <f>sum(E41)+K41+N41+60</f>
        <v>4914</v>
      </c>
      <c r="E41" s="39">
        <v>4000.0</v>
      </c>
      <c r="F41" s="39">
        <v>3296.0</v>
      </c>
      <c r="G41" s="49">
        <f t="shared" si="11"/>
        <v>8210</v>
      </c>
      <c r="H41" s="49">
        <f>66+52+114+237+144+104+45+51+333+33+15</f>
        <v>1194</v>
      </c>
      <c r="I41" s="49">
        <f>H41+6877</f>
        <v>8071</v>
      </c>
      <c r="J41" s="49">
        <f t="shared" si="14"/>
        <v>139</v>
      </c>
      <c r="K41" s="49">
        <f>-10-100+104</f>
        <v>-6</v>
      </c>
      <c r="L41" s="50"/>
      <c r="M41" s="8"/>
      <c r="N41" s="39">
        <f>550+20+50+170+50+20</f>
        <v>860</v>
      </c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48">
        <v>45849.0</v>
      </c>
      <c r="B42" s="39" t="s">
        <v>27</v>
      </c>
      <c r="C42" s="39">
        <v>1000.0</v>
      </c>
      <c r="D42" s="49">
        <f>sum(E42)+K42+N42+100+182+30+243</f>
        <v>3819</v>
      </c>
      <c r="E42" s="39">
        <v>2600.0</v>
      </c>
      <c r="F42" s="39">
        <v>2066.0</v>
      </c>
      <c r="G42" s="49">
        <f t="shared" si="11"/>
        <v>5885</v>
      </c>
      <c r="H42" s="49">
        <f>34+78+10+33+96+17</f>
        <v>268</v>
      </c>
      <c r="I42" s="49">
        <f>H42+5673-162</f>
        <v>5779</v>
      </c>
      <c r="J42" s="49">
        <f t="shared" si="14"/>
        <v>106</v>
      </c>
      <c r="K42" s="49">
        <f>-20-28+62</f>
        <v>14</v>
      </c>
      <c r="L42" s="50"/>
      <c r="M42" s="8"/>
      <c r="N42" s="49">
        <f>100+50+500</f>
        <v>650</v>
      </c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48">
        <v>45850.0</v>
      </c>
      <c r="B43" s="39" t="s">
        <v>28</v>
      </c>
      <c r="C43" s="39">
        <v>1000.0</v>
      </c>
      <c r="D43" s="49">
        <f>sum(E43)+K43+N43+356</f>
        <v>2606</v>
      </c>
      <c r="E43" s="39">
        <v>2200.0</v>
      </c>
      <c r="F43" s="39">
        <v>2437.0</v>
      </c>
      <c r="G43" s="49">
        <f t="shared" si="11"/>
        <v>5043</v>
      </c>
      <c r="H43" s="49">
        <f>33+104+40+54+66+99</f>
        <v>396</v>
      </c>
      <c r="I43" s="49">
        <f>H43+4182</f>
        <v>4578</v>
      </c>
      <c r="J43" s="49">
        <f t="shared" si="14"/>
        <v>465</v>
      </c>
      <c r="K43" s="49">
        <f>-5-50+35</f>
        <v>-20</v>
      </c>
      <c r="L43" s="50"/>
      <c r="M43" s="8"/>
      <c r="N43" s="49">
        <f>50+20</f>
        <v>70</v>
      </c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48">
        <v>45851.0</v>
      </c>
      <c r="B44" s="39" t="s">
        <v>29</v>
      </c>
      <c r="C44" s="39">
        <v>1000.0</v>
      </c>
      <c r="D44" s="49">
        <f>sum(E44)+K44+N44</f>
        <v>0</v>
      </c>
      <c r="E44" s="39">
        <v>0.0</v>
      </c>
      <c r="F44" s="39">
        <v>0.0</v>
      </c>
      <c r="G44" s="49">
        <f t="shared" si="11"/>
        <v>0</v>
      </c>
      <c r="H44" s="39">
        <v>0.0</v>
      </c>
      <c r="I44" s="49">
        <f>H44+0</f>
        <v>0</v>
      </c>
      <c r="J44" s="49">
        <f t="shared" si="14"/>
        <v>0</v>
      </c>
      <c r="K44" s="39">
        <v>0.0</v>
      </c>
      <c r="L44" s="50"/>
      <c r="M44" s="8"/>
      <c r="N44" s="39">
        <v>0.0</v>
      </c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48">
        <v>45852.0</v>
      </c>
      <c r="B45" s="39" t="s">
        <v>30</v>
      </c>
      <c r="C45" s="39">
        <v>900.0</v>
      </c>
      <c r="D45" s="49">
        <f>sum(E45)+K45+N45-100</f>
        <v>4220</v>
      </c>
      <c r="E45" s="39">
        <v>3600.0</v>
      </c>
      <c r="F45" s="49">
        <f>700+1666+100+162+250</f>
        <v>2878</v>
      </c>
      <c r="G45" s="49">
        <f t="shared" si="11"/>
        <v>7098</v>
      </c>
      <c r="H45" s="49">
        <f>+16+94+50+27+20+50+25+27+63+90+50+162+250</f>
        <v>924</v>
      </c>
      <c r="I45" s="49">
        <f>H45+0+6253</f>
        <v>7177</v>
      </c>
      <c r="J45" s="49">
        <f t="shared" si="14"/>
        <v>-79</v>
      </c>
      <c r="K45" s="49">
        <f>-50-10-20</f>
        <v>-80</v>
      </c>
      <c r="L45" s="38" t="s">
        <v>68</v>
      </c>
      <c r="M45" s="8"/>
      <c r="N45" s="49">
        <f>+30+50+20+700</f>
        <v>800</v>
      </c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48">
        <v>45853.0</v>
      </c>
      <c r="B46" s="39" t="s">
        <v>32</v>
      </c>
      <c r="C46" s="39">
        <v>1000.0</v>
      </c>
      <c r="D46" s="49">
        <f>sum(E46)+K46+N46+100-972</f>
        <v>3917</v>
      </c>
      <c r="E46" s="39">
        <v>4700.0</v>
      </c>
      <c r="F46" s="39">
        <v>5126.0</v>
      </c>
      <c r="G46" s="49">
        <f t="shared" si="11"/>
        <v>9043</v>
      </c>
      <c r="H46" s="39">
        <f>85+20+120+272+20+12+60+144+244+14</f>
        <v>991</v>
      </c>
      <c r="I46" s="49">
        <f>H46+8567</f>
        <v>9558</v>
      </c>
      <c r="J46" s="49">
        <f t="shared" si="14"/>
        <v>-515</v>
      </c>
      <c r="K46" s="49">
        <f>-52+21</f>
        <v>-31</v>
      </c>
      <c r="L46" s="38" t="s">
        <v>69</v>
      </c>
      <c r="M46" s="8"/>
      <c r="N46" s="39">
        <f>30+50+20+20</f>
        <v>120</v>
      </c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26.25" customHeight="1">
      <c r="A47" s="48">
        <v>45854.0</v>
      </c>
      <c r="B47" s="39" t="s">
        <v>33</v>
      </c>
      <c r="C47" s="39">
        <v>1000.0</v>
      </c>
      <c r="D47" s="49">
        <f>sum(E47)+K47+N47-120-105-(87*4)+45+930+50</f>
        <v>6422</v>
      </c>
      <c r="E47" s="39">
        <v>6400.0</v>
      </c>
      <c r="F47" s="39">
        <v>6967.0</v>
      </c>
      <c r="G47" s="49">
        <f t="shared" si="11"/>
        <v>13389</v>
      </c>
      <c r="H47" s="49">
        <f>+14+120+74</f>
        <v>208</v>
      </c>
      <c r="I47" s="49">
        <f>H47+18452-4260</f>
        <v>14400</v>
      </c>
      <c r="J47" s="49">
        <f t="shared" si="14"/>
        <v>-1011</v>
      </c>
      <c r="K47" s="9">
        <f>-80-40-310</f>
        <v>-430</v>
      </c>
      <c r="L47" s="38" t="s">
        <v>70</v>
      </c>
      <c r="M47" s="8"/>
      <c r="N47" s="4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48">
        <v>45855.0</v>
      </c>
      <c r="B48" s="39" t="s">
        <v>25</v>
      </c>
      <c r="C48" s="39">
        <v>1000.0</v>
      </c>
      <c r="D48" s="49">
        <f>sum(E48)+K48+N48-185-165-156+1171</f>
        <v>6420</v>
      </c>
      <c r="E48" s="39">
        <v>4500.0</v>
      </c>
      <c r="F48" s="39">
        <v>3840.0</v>
      </c>
      <c r="G48" s="49">
        <f t="shared" si="11"/>
        <v>10260</v>
      </c>
      <c r="H48" s="49">
        <f>7+50</f>
        <v>57</v>
      </c>
      <c r="I48" s="49">
        <f>H48+9096+1257</f>
        <v>10410</v>
      </c>
      <c r="J48" s="49">
        <f t="shared" si="14"/>
        <v>-150</v>
      </c>
      <c r="K48" s="49">
        <f>-50-10-40+235-50</f>
        <v>85</v>
      </c>
      <c r="L48" s="50"/>
      <c r="M48" s="8"/>
      <c r="N48" s="39">
        <f>1000+40+30+50+50</f>
        <v>1170</v>
      </c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48">
        <v>45856.0</v>
      </c>
      <c r="B49" s="39" t="s">
        <v>27</v>
      </c>
      <c r="C49" s="39">
        <v>1000.0</v>
      </c>
      <c r="D49" s="49">
        <f>sum(E49)+K49+N49+794</f>
        <v>4170</v>
      </c>
      <c r="E49" s="39">
        <v>3600.0</v>
      </c>
      <c r="F49" s="39">
        <v>2446.0</v>
      </c>
      <c r="G49" s="49">
        <f t="shared" si="11"/>
        <v>6616</v>
      </c>
      <c r="H49" s="39">
        <f>36+11</f>
        <v>47</v>
      </c>
      <c r="I49" s="49">
        <f>H49+244+150+5523+794</f>
        <v>6758</v>
      </c>
      <c r="J49" s="49">
        <f t="shared" si="14"/>
        <v>-142</v>
      </c>
      <c r="K49" s="49">
        <f>-202-30-40+13-15</f>
        <v>-274</v>
      </c>
      <c r="L49" s="50"/>
      <c r="M49" s="8"/>
      <c r="N49" s="49">
        <f>50</f>
        <v>50</v>
      </c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48">
        <v>45857.0</v>
      </c>
      <c r="B50" s="39" t="s">
        <v>28</v>
      </c>
      <c r="C50" s="39">
        <v>1000.0</v>
      </c>
      <c r="D50" s="49">
        <f>sum(E50)+K50+N50+1026</f>
        <v>8151</v>
      </c>
      <c r="E50" s="49">
        <f>1500+5500</f>
        <v>7000</v>
      </c>
      <c r="F50" s="39">
        <v>3986.0</v>
      </c>
      <c r="G50" s="49">
        <f t="shared" si="11"/>
        <v>12137</v>
      </c>
      <c r="H50" s="39">
        <v>28.0</v>
      </c>
      <c r="I50" s="49">
        <f>H50+27+47+12127</f>
        <v>12229</v>
      </c>
      <c r="J50" s="49">
        <f t="shared" si="14"/>
        <v>-92</v>
      </c>
      <c r="K50" s="49">
        <f>-53-7+55</f>
        <v>-5</v>
      </c>
      <c r="L50" s="38" t="s">
        <v>71</v>
      </c>
      <c r="M50" s="8"/>
      <c r="N50" s="39">
        <f> 30+50+50</f>
        <v>130</v>
      </c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48">
        <v>45858.0</v>
      </c>
      <c r="B51" s="39" t="s">
        <v>29</v>
      </c>
      <c r="C51" s="39">
        <v>1000.0</v>
      </c>
      <c r="D51" s="49">
        <f>sum(E51)+K51+N51</f>
        <v>0</v>
      </c>
      <c r="E51" s="39">
        <v>0.0</v>
      </c>
      <c r="F51" s="39">
        <v>0.0</v>
      </c>
      <c r="G51" s="49">
        <f t="shared" si="11"/>
        <v>0</v>
      </c>
      <c r="H51" s="39">
        <v>0.0</v>
      </c>
      <c r="I51" s="49">
        <f>H51+0</f>
        <v>0</v>
      </c>
      <c r="J51" s="49">
        <f t="shared" si="14"/>
        <v>0</v>
      </c>
      <c r="K51" s="39">
        <v>0.0</v>
      </c>
      <c r="L51" s="50"/>
      <c r="M51" s="8"/>
      <c r="N51" s="39">
        <v>0.0</v>
      </c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48">
        <v>45859.0</v>
      </c>
      <c r="B52" s="39" t="s">
        <v>30</v>
      </c>
      <c r="C52" s="39">
        <v>1000.0</v>
      </c>
      <c r="D52" s="49">
        <f>sum(E52)+K52+N52+625</f>
        <v>7235</v>
      </c>
      <c r="E52" s="49">
        <f>6500</f>
        <v>6500</v>
      </c>
      <c r="F52" s="39">
        <v>4450.0</v>
      </c>
      <c r="G52" s="49">
        <f t="shared" si="11"/>
        <v>11685</v>
      </c>
      <c r="H52" s="39">
        <v>4.0</v>
      </c>
      <c r="I52" s="49">
        <f>H52+11726-80</f>
        <v>11650</v>
      </c>
      <c r="J52" s="49">
        <f>G52-I52-30</f>
        <v>5</v>
      </c>
      <c r="K52" s="49">
        <f>30-20</f>
        <v>10</v>
      </c>
      <c r="L52" s="38" t="s">
        <v>72</v>
      </c>
      <c r="M52" s="8"/>
      <c r="N52" s="39">
        <f>30+20+50</f>
        <v>100</v>
      </c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48">
        <v>45860.0</v>
      </c>
      <c r="B53" s="39" t="s">
        <v>32</v>
      </c>
      <c r="C53" s="39">
        <v>1000.0</v>
      </c>
      <c r="D53" s="49">
        <f>sum(E53)+K53+N53+682-50</f>
        <v>3594</v>
      </c>
      <c r="E53" s="39">
        <v>2900.0</v>
      </c>
      <c r="F53" s="39">
        <v>2840.0</v>
      </c>
      <c r="G53" s="49">
        <f t="shared" si="11"/>
        <v>6434</v>
      </c>
      <c r="H53" s="39">
        <f>333+11</f>
        <v>344</v>
      </c>
      <c r="I53" s="49">
        <f>H53+5927</f>
        <v>6271</v>
      </c>
      <c r="J53" s="49">
        <f t="shared" ref="J53:J58" si="15">G53-I53</f>
        <v>163</v>
      </c>
      <c r="K53" s="49">
        <f>-2-5-5+54</f>
        <v>42</v>
      </c>
      <c r="L53" s="50"/>
      <c r="M53" s="8"/>
      <c r="N53" s="49">
        <f t="shared" ref="N53:N54" si="16">20</f>
        <v>20</v>
      </c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48">
        <v>45861.0</v>
      </c>
      <c r="B54" s="39" t="s">
        <v>33</v>
      </c>
      <c r="C54" s="39">
        <v>1000.0</v>
      </c>
      <c r="D54" s="39" t="s">
        <v>73</v>
      </c>
      <c r="E54" s="39">
        <v>2000.0</v>
      </c>
      <c r="F54" s="39">
        <v>2802.0</v>
      </c>
      <c r="G54" s="49">
        <f t="shared" si="11"/>
        <v>2802</v>
      </c>
      <c r="H54" s="49">
        <f>25+19+38</f>
        <v>82</v>
      </c>
      <c r="I54" s="49">
        <f>H54+6224</f>
        <v>6306</v>
      </c>
      <c r="J54" s="49">
        <f t="shared" si="15"/>
        <v>-3504</v>
      </c>
      <c r="K54" s="39">
        <f>-500-19-50-150</f>
        <v>-719</v>
      </c>
      <c r="L54" s="38" t="s">
        <v>74</v>
      </c>
      <c r="M54" s="8"/>
      <c r="N54" s="49">
        <f t="shared" si="16"/>
        <v>20</v>
      </c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48">
        <v>45862.0</v>
      </c>
      <c r="B55" s="39" t="s">
        <v>25</v>
      </c>
      <c r="C55" s="39">
        <v>1000.0</v>
      </c>
      <c r="D55" s="49">
        <f>sum(E55)+K55+N55+1279+285</f>
        <v>9439</v>
      </c>
      <c r="E55" s="39">
        <v>8000.0</v>
      </c>
      <c r="F55" s="39">
        <f>4529-325</f>
        <v>4204</v>
      </c>
      <c r="G55" s="49">
        <f t="shared" si="11"/>
        <v>13643</v>
      </c>
      <c r="H55" s="49">
        <f>4+41+51+70+60+95</f>
        <v>321</v>
      </c>
      <c r="I55" s="49">
        <f>H55+13980</f>
        <v>14301</v>
      </c>
      <c r="J55" s="49">
        <f t="shared" si="15"/>
        <v>-658</v>
      </c>
      <c r="K55" s="49">
        <f>-20+275-100-40+210-500</f>
        <v>-175</v>
      </c>
      <c r="L55" s="38" t="s">
        <v>75</v>
      </c>
      <c r="M55" s="8"/>
      <c r="N55" s="39">
        <v>50.0</v>
      </c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48">
        <v>45863.0</v>
      </c>
      <c r="B56" s="39" t="s">
        <v>27</v>
      </c>
      <c r="C56" s="39">
        <v>1000.0</v>
      </c>
      <c r="D56" s="49">
        <f>sum(E56)+K56+N56+5206+460+78</f>
        <v>11936</v>
      </c>
      <c r="E56" s="39">
        <v>3700.0</v>
      </c>
      <c r="F56" s="39">
        <f>3034+369</f>
        <v>3403</v>
      </c>
      <c r="G56" s="49">
        <f t="shared" si="11"/>
        <v>15339</v>
      </c>
      <c r="H56" s="39">
        <v>15.0</v>
      </c>
      <c r="I56" s="49">
        <f>H56+15305</f>
        <v>15320</v>
      </c>
      <c r="J56" s="49">
        <f t="shared" si="15"/>
        <v>19</v>
      </c>
      <c r="K56" s="39">
        <f>-200-10-20+212-50</f>
        <v>-68</v>
      </c>
      <c r="L56" s="50"/>
      <c r="M56" s="8"/>
      <c r="N56" s="39">
        <f>40+50+20+300+100+50+2000</f>
        <v>2560</v>
      </c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48">
        <v>45864.0</v>
      </c>
      <c r="B57" s="39" t="s">
        <v>28</v>
      </c>
      <c r="C57" s="39">
        <v>1000.0</v>
      </c>
      <c r="D57" s="49">
        <f>sum(E57)+K57+N57+1966</f>
        <v>5803</v>
      </c>
      <c r="E57" s="39">
        <v>3700.0</v>
      </c>
      <c r="F57" s="39">
        <v>3027.0</v>
      </c>
      <c r="G57" s="49">
        <f t="shared" si="11"/>
        <v>8830</v>
      </c>
      <c r="H57" s="49">
        <f>9+100+28+10</f>
        <v>147</v>
      </c>
      <c r="I57" s="49">
        <f>H57+9107</f>
        <v>9254</v>
      </c>
      <c r="J57" s="49">
        <f t="shared" si="15"/>
        <v>-424</v>
      </c>
      <c r="K57" s="49">
        <f>-70-10-50-4+70+181-100</f>
        <v>17</v>
      </c>
      <c r="L57" s="38" t="s">
        <v>76</v>
      </c>
      <c r="M57" s="8"/>
      <c r="N57" s="49">
        <f>20+40+30+30</f>
        <v>120</v>
      </c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48">
        <v>45865.0</v>
      </c>
      <c r="B58" s="39" t="s">
        <v>29</v>
      </c>
      <c r="C58" s="39">
        <v>1000.0</v>
      </c>
      <c r="D58" s="49">
        <f>sum(E58)+K58+N58</f>
        <v>0</v>
      </c>
      <c r="E58" s="39">
        <v>0.0</v>
      </c>
      <c r="F58" s="39">
        <v>0.0</v>
      </c>
      <c r="G58" s="49">
        <f t="shared" si="11"/>
        <v>0</v>
      </c>
      <c r="H58" s="39">
        <v>0.0</v>
      </c>
      <c r="I58" s="39">
        <v>0.0</v>
      </c>
      <c r="J58" s="49">
        <f t="shared" si="15"/>
        <v>0</v>
      </c>
      <c r="K58" s="39"/>
      <c r="L58" s="50"/>
      <c r="M58" s="8"/>
      <c r="N58" s="39">
        <v>0.0</v>
      </c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48">
        <v>45866.0</v>
      </c>
      <c r="B59" s="39" t="s">
        <v>30</v>
      </c>
      <c r="C59" s="39">
        <v>1000.0</v>
      </c>
      <c r="D59" s="49">
        <f>sum(E59)+K59+N59+3850-175</f>
        <v>5418</v>
      </c>
      <c r="E59" s="39">
        <v>800.0</v>
      </c>
      <c r="F59" s="39">
        <v>6893.0</v>
      </c>
      <c r="G59" s="49">
        <f t="shared" si="11"/>
        <v>12311</v>
      </c>
      <c r="H59" s="39">
        <v>50.0</v>
      </c>
      <c r="I59" s="49">
        <f>H59+12461</f>
        <v>12511</v>
      </c>
      <c r="J59" s="49">
        <f>G59-I59+65+39+59+68</f>
        <v>31</v>
      </c>
      <c r="K59" s="49">
        <f>-70-10-5-20-10-2-50</f>
        <v>-167</v>
      </c>
      <c r="L59" s="38" t="s">
        <v>77</v>
      </c>
      <c r="M59" s="8"/>
      <c r="N59" s="39">
        <f>30+30+1000+20+30</f>
        <v>1110</v>
      </c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48">
        <v>45867.0</v>
      </c>
      <c r="B60" s="39" t="s">
        <v>32</v>
      </c>
      <c r="C60" s="39">
        <v>1000.0</v>
      </c>
      <c r="D60" s="49">
        <f>sum(E60)+K60+N60+1255</f>
        <v>7831</v>
      </c>
      <c r="E60" s="39">
        <v>6500.0</v>
      </c>
      <c r="F60" s="39">
        <v>2629.0</v>
      </c>
      <c r="G60" s="49">
        <f t="shared" si="11"/>
        <v>10460</v>
      </c>
      <c r="H60" s="39">
        <v>12.0</v>
      </c>
      <c r="I60" s="49">
        <f>H60+10568</f>
        <v>10580</v>
      </c>
      <c r="J60" s="49">
        <f>G60-I60+127</f>
        <v>7</v>
      </c>
      <c r="K60" s="49">
        <f>-40+55-110-4+55+20</f>
        <v>-24</v>
      </c>
      <c r="L60" s="50"/>
      <c r="M60" s="8"/>
      <c r="N60" s="39">
        <f>50+20+20+10</f>
        <v>100</v>
      </c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48">
        <v>45868.0</v>
      </c>
      <c r="B61" s="39" t="s">
        <v>33</v>
      </c>
      <c r="C61" s="39">
        <v>1000.0</v>
      </c>
      <c r="D61" s="49">
        <f>sum(E61)+K61+N61-209</f>
        <v>3585</v>
      </c>
      <c r="E61" s="39">
        <v>3500.0</v>
      </c>
      <c r="F61" s="49">
        <f>600+2032</f>
        <v>2632</v>
      </c>
      <c r="G61" s="49">
        <f t="shared" si="11"/>
        <v>6217</v>
      </c>
      <c r="H61" s="39">
        <f>10+116</f>
        <v>126</v>
      </c>
      <c r="I61" s="49">
        <f>H61+6000</f>
        <v>6126</v>
      </c>
      <c r="J61" s="49">
        <f>G61-I61+108+24+21</f>
        <v>244</v>
      </c>
      <c r="K61" s="49">
        <f>-25-20-5-20-100-110-20-41-20-20+55-20</f>
        <v>-346</v>
      </c>
      <c r="L61" s="38" t="s">
        <v>78</v>
      </c>
      <c r="M61" s="8"/>
      <c r="N61" s="39">
        <f>20+20+600</f>
        <v>640</v>
      </c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48">
        <v>45869.0</v>
      </c>
      <c r="B62" s="39" t="s">
        <v>25</v>
      </c>
      <c r="C62" s="39">
        <v>1000.0</v>
      </c>
      <c r="D62" s="49">
        <f>sum(E62)+K62+N62</f>
        <v>3959</v>
      </c>
      <c r="E62" s="39">
        <f>4700-1500</f>
        <v>3200</v>
      </c>
      <c r="F62" s="39">
        <v>7893.0</v>
      </c>
      <c r="G62" s="49">
        <f t="shared" si="11"/>
        <v>11852</v>
      </c>
      <c r="H62" s="49">
        <f>-8+100+2900</f>
        <v>2992</v>
      </c>
      <c r="I62" s="49">
        <f>H62+9883</f>
        <v>12875</v>
      </c>
      <c r="J62" s="49">
        <f>G62-I62+430</f>
        <v>-593</v>
      </c>
      <c r="K62" s="49">
        <f>-55+135+679</f>
        <v>759</v>
      </c>
      <c r="L62" s="38" t="s">
        <v>79</v>
      </c>
      <c r="M62" s="8"/>
      <c r="N62" s="3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5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8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48">
        <v>45870.0</v>
      </c>
      <c r="B64" s="39" t="s">
        <v>27</v>
      </c>
      <c r="C64" s="39">
        <v>1000.0</v>
      </c>
      <c r="D64" s="49">
        <f>sum(E64)+K64+N64</f>
        <v>6380</v>
      </c>
      <c r="E64" s="39">
        <v>6200.0</v>
      </c>
      <c r="F64" s="39">
        <v>2365.0</v>
      </c>
      <c r="G64" s="49">
        <f t="shared" ref="G64:G94" si="17">sum(D64,F64)</f>
        <v>8745</v>
      </c>
      <c r="H64" s="49">
        <f>6</f>
        <v>6</v>
      </c>
      <c r="I64" s="49">
        <f>H64++9343</f>
        <v>9349</v>
      </c>
      <c r="J64" s="49">
        <f t="shared" ref="J64:J65" si="18">G64-I64+14</f>
        <v>-590</v>
      </c>
      <c r="K64" s="49">
        <f>-10-10+15+25</f>
        <v>20</v>
      </c>
      <c r="L64" s="50"/>
      <c r="M64" s="8"/>
      <c r="N64" s="39">
        <f>110+20+30</f>
        <v>160</v>
      </c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48">
        <v>45871.0</v>
      </c>
      <c r="B65" s="39" t="s">
        <v>28</v>
      </c>
      <c r="C65" s="39">
        <v>1000.0</v>
      </c>
      <c r="D65" s="49">
        <f>sum(E65)+K65+N65+475</f>
        <v>9170</v>
      </c>
      <c r="E65" s="39">
        <f>6500+1150</f>
        <v>7650</v>
      </c>
      <c r="F65" s="39">
        <v>4138.0</v>
      </c>
      <c r="G65" s="49">
        <f t="shared" si="17"/>
        <v>13308</v>
      </c>
      <c r="H65" s="49">
        <f>+7+50+30</f>
        <v>87</v>
      </c>
      <c r="I65" s="49">
        <f>H65+13032</f>
        <v>13119</v>
      </c>
      <c r="J65" s="49">
        <f t="shared" si="18"/>
        <v>203</v>
      </c>
      <c r="K65" s="49">
        <f>-5-50-20</f>
        <v>-75</v>
      </c>
      <c r="L65" s="38" t="s">
        <v>80</v>
      </c>
      <c r="M65" s="8"/>
      <c r="N65" s="39">
        <f>1000+50+10+10+50+0</f>
        <v>1120</v>
      </c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48">
        <v>45872.0</v>
      </c>
      <c r="B66" s="39" t="s">
        <v>29</v>
      </c>
      <c r="C66" s="39">
        <v>1000.0</v>
      </c>
      <c r="D66" s="49">
        <f>sum(E66)+K66+N66</f>
        <v>0</v>
      </c>
      <c r="E66" s="39">
        <v>0.0</v>
      </c>
      <c r="F66" s="39">
        <v>0.0</v>
      </c>
      <c r="G66" s="49">
        <f t="shared" si="17"/>
        <v>0</v>
      </c>
      <c r="H66" s="39">
        <v>0.0</v>
      </c>
      <c r="I66" s="49">
        <f>H66+0</f>
        <v>0</v>
      </c>
      <c r="J66" s="49">
        <f t="shared" ref="J66:J68" si="19">G66-I66</f>
        <v>0</v>
      </c>
      <c r="K66" s="39">
        <v>0.0</v>
      </c>
      <c r="L66" s="38"/>
      <c r="M66" s="8"/>
      <c r="N66" s="39">
        <v>0.0</v>
      </c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48">
        <v>45873.0</v>
      </c>
      <c r="B67" s="39" t="s">
        <v>30</v>
      </c>
      <c r="C67" s="39">
        <v>1000.0</v>
      </c>
      <c r="D67" s="49">
        <f>sum(E67)+K67+N67+2276+325</f>
        <v>7630</v>
      </c>
      <c r="E67" s="39">
        <v>2100.0</v>
      </c>
      <c r="F67" s="39">
        <f>3327+88</f>
        <v>3415</v>
      </c>
      <c r="G67" s="49">
        <f t="shared" si="17"/>
        <v>11045</v>
      </c>
      <c r="H67" s="39">
        <f>9+50</f>
        <v>59</v>
      </c>
      <c r="I67" s="49">
        <f>H67+11012</f>
        <v>11071</v>
      </c>
      <c r="J67" s="49">
        <f t="shared" si="19"/>
        <v>-26</v>
      </c>
      <c r="K67" s="39">
        <f>-20+9-100+20-10</f>
        <v>-101</v>
      </c>
      <c r="L67" s="38" t="s">
        <v>81</v>
      </c>
      <c r="M67" s="8"/>
      <c r="N67" s="39">
        <f>3000+30</f>
        <v>3030</v>
      </c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48">
        <v>45874.0</v>
      </c>
      <c r="B68" s="39" t="s">
        <v>32</v>
      </c>
      <c r="C68" s="39">
        <v>1000.0</v>
      </c>
      <c r="D68" s="49">
        <f>sum(E68)+K68+N68+1450</f>
        <v>6014</v>
      </c>
      <c r="E68" s="39">
        <v>4000.0</v>
      </c>
      <c r="F68" s="39">
        <v>7354.0</v>
      </c>
      <c r="G68" s="49">
        <f t="shared" si="17"/>
        <v>13368</v>
      </c>
      <c r="H68" s="49">
        <f>9+150+80</f>
        <v>239</v>
      </c>
      <c r="I68" s="49">
        <f>H68+13048</f>
        <v>13287</v>
      </c>
      <c r="J68" s="49">
        <f t="shared" si="19"/>
        <v>81</v>
      </c>
      <c r="K68" s="49">
        <f>-60-20-20-50-20+94</f>
        <v>-76</v>
      </c>
      <c r="L68" s="50"/>
      <c r="M68" s="8"/>
      <c r="N68" s="49">
        <f>90+500+50</f>
        <v>640</v>
      </c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48">
        <v>45875.0</v>
      </c>
      <c r="B69" s="39" t="s">
        <v>33</v>
      </c>
      <c r="C69" s="39">
        <v>1000.0</v>
      </c>
      <c r="D69" s="49">
        <f>sum(E69)+K69+N69+1570</f>
        <v>5805</v>
      </c>
      <c r="E69" s="39">
        <v>3600.0</v>
      </c>
      <c r="F69" s="39">
        <f>3597+86</f>
        <v>3683</v>
      </c>
      <c r="G69" s="49">
        <f t="shared" si="17"/>
        <v>9488</v>
      </c>
      <c r="H69" s="49">
        <f>200+55+100+8</f>
        <v>363</v>
      </c>
      <c r="I69" s="49">
        <f>H69+9251</f>
        <v>9614</v>
      </c>
      <c r="J69" s="49">
        <f>G69-I69+100</f>
        <v>-26</v>
      </c>
      <c r="K69" s="39">
        <f>-110+75</f>
        <v>-35</v>
      </c>
      <c r="L69" s="50"/>
      <c r="M69" s="8"/>
      <c r="N69" s="39">
        <f>600+20+50</f>
        <v>670</v>
      </c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48">
        <v>45876.0</v>
      </c>
      <c r="B70" s="39" t="s">
        <v>25</v>
      </c>
      <c r="C70" s="39">
        <v>1000.0</v>
      </c>
      <c r="D70" s="49">
        <f>sum(E70)+K70+N70+335</f>
        <v>12445</v>
      </c>
      <c r="E70" s="39">
        <f>11500+100</f>
        <v>11600</v>
      </c>
      <c r="F70" s="39">
        <v>1716.0</v>
      </c>
      <c r="G70" s="49">
        <f t="shared" si="17"/>
        <v>14161</v>
      </c>
      <c r="H70" s="49">
        <f>140+50+14+335</f>
        <v>539</v>
      </c>
      <c r="I70" s="49">
        <f>H70+13496</f>
        <v>14035</v>
      </c>
      <c r="J70" s="49">
        <f t="shared" ref="J70:J72" si="20">G70-I70</f>
        <v>126</v>
      </c>
      <c r="K70" s="39">
        <f>-75+280+5</f>
        <v>210</v>
      </c>
      <c r="L70" s="50"/>
      <c r="M70" s="8"/>
      <c r="N70" s="49">
        <f>10+120+60+60+50</f>
        <v>300</v>
      </c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48">
        <v>45877.0</v>
      </c>
      <c r="B71" s="39" t="s">
        <v>27</v>
      </c>
      <c r="C71" s="39">
        <v>1000.0</v>
      </c>
      <c r="D71" s="49">
        <f>sum(E71)+K71+N71+3160</f>
        <v>7200</v>
      </c>
      <c r="E71" s="39">
        <v>3600.0</v>
      </c>
      <c r="F71" s="39">
        <v>2615.0</v>
      </c>
      <c r="G71" s="49">
        <f t="shared" si="17"/>
        <v>9815</v>
      </c>
      <c r="H71" s="49">
        <f>20</f>
        <v>20</v>
      </c>
      <c r="I71" s="49">
        <f>H71+9788</f>
        <v>9808</v>
      </c>
      <c r="J71" s="49">
        <f t="shared" si="20"/>
        <v>7</v>
      </c>
      <c r="K71" s="49">
        <f>-500-60-50</f>
        <v>-610</v>
      </c>
      <c r="L71" s="38"/>
      <c r="M71" s="8"/>
      <c r="N71" s="39">
        <f>1000+50</f>
        <v>1050</v>
      </c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48">
        <v>45878.0</v>
      </c>
      <c r="B72" s="39" t="s">
        <v>28</v>
      </c>
      <c r="C72" s="39">
        <v>1000.0</v>
      </c>
      <c r="D72" s="49">
        <f>sum(E72)+K72+N72+1200</f>
        <v>9228</v>
      </c>
      <c r="E72" s="39">
        <v>7900.0</v>
      </c>
      <c r="F72" s="39">
        <v>3404.0</v>
      </c>
      <c r="G72" s="49">
        <f t="shared" si="17"/>
        <v>12632</v>
      </c>
      <c r="H72" s="49">
        <f>40+14+10+70+450+100+15+50</f>
        <v>749</v>
      </c>
      <c r="I72" s="49">
        <f>H72+11832</f>
        <v>12581</v>
      </c>
      <c r="J72" s="49">
        <f t="shared" si="20"/>
        <v>51</v>
      </c>
      <c r="K72" s="39">
        <f>-40+68</f>
        <v>28</v>
      </c>
      <c r="L72" s="50"/>
      <c r="M72" s="8"/>
      <c r="N72" s="49">
        <f>70+30</f>
        <v>100</v>
      </c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48">
        <v>45879.0</v>
      </c>
      <c r="B73" s="39" t="s">
        <v>29</v>
      </c>
      <c r="C73" s="39">
        <v>1000.0</v>
      </c>
      <c r="D73" s="49">
        <f>sum(E73)+K73+N73</f>
        <v>1309</v>
      </c>
      <c r="E73" s="39">
        <v>1300.0</v>
      </c>
      <c r="F73" s="39">
        <v>1440.0</v>
      </c>
      <c r="G73" s="49">
        <f t="shared" si="17"/>
        <v>2749</v>
      </c>
      <c r="H73" s="39">
        <f>5+55</f>
        <v>60</v>
      </c>
      <c r="I73" s="49">
        <f>H73+2699</f>
        <v>2759</v>
      </c>
      <c r="J73" s="49">
        <f>G73-I73+10</f>
        <v>0</v>
      </c>
      <c r="K73" s="39">
        <v>9.0</v>
      </c>
      <c r="L73" s="50"/>
      <c r="M73" s="8"/>
      <c r="N73" s="39">
        <v>0.0</v>
      </c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48">
        <v>45880.0</v>
      </c>
      <c r="B74" s="39" t="s">
        <v>30</v>
      </c>
      <c r="C74" s="39">
        <v>1000.0</v>
      </c>
      <c r="D74" s="49">
        <f>sum(E74)+K74+N74+3051</f>
        <v>9395</v>
      </c>
      <c r="E74" s="39">
        <f>6200-2000</f>
        <v>4200</v>
      </c>
      <c r="F74" s="39">
        <v>4037.0</v>
      </c>
      <c r="G74" s="49">
        <f t="shared" si="17"/>
        <v>13432</v>
      </c>
      <c r="H74" s="49">
        <f>20+11+91+55+124+50+50</f>
        <v>401</v>
      </c>
      <c r="I74" s="49">
        <f>H74+13509</f>
        <v>13910</v>
      </c>
      <c r="J74" s="49">
        <f>G74-I74+279</f>
        <v>-199</v>
      </c>
      <c r="K74" s="49">
        <f>-84-90-40-5-10-10+63+50+1560</f>
        <v>1434</v>
      </c>
      <c r="L74" s="38" t="s">
        <v>82</v>
      </c>
      <c r="M74" s="8"/>
      <c r="N74" s="39">
        <f>520+350+10-220+30+20</f>
        <v>710</v>
      </c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48">
        <v>45881.0</v>
      </c>
      <c r="B75" s="39" t="s">
        <v>32</v>
      </c>
      <c r="C75" s="39"/>
      <c r="D75" s="49">
        <f>sum(E75)+K75+N75+1304+144</f>
        <v>10660</v>
      </c>
      <c r="E75" s="39">
        <f>8100+1000</f>
        <v>9100</v>
      </c>
      <c r="F75" s="39">
        <v>3345.0</v>
      </c>
      <c r="G75" s="49">
        <f t="shared" si="17"/>
        <v>14005</v>
      </c>
      <c r="H75" s="49">
        <f>20+8+50+140+105</f>
        <v>323</v>
      </c>
      <c r="I75" s="49">
        <f>H75+13187</f>
        <v>13510</v>
      </c>
      <c r="J75" s="49">
        <f>G75-I75+138+32+33</f>
        <v>698</v>
      </c>
      <c r="K75" s="49">
        <f>20+22+60</f>
        <v>102</v>
      </c>
      <c r="L75" s="38" t="s">
        <v>83</v>
      </c>
      <c r="M75" s="8"/>
      <c r="N75" s="49">
        <f>10</f>
        <v>10</v>
      </c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48">
        <v>45882.0</v>
      </c>
      <c r="B76" s="39" t="s">
        <v>33</v>
      </c>
      <c r="C76" s="39">
        <v>1000.0</v>
      </c>
      <c r="D76" s="49">
        <f>sum(E76)+K76+N76+989+48</f>
        <v>8802</v>
      </c>
      <c r="E76" s="49">
        <f>--1000+6600</f>
        <v>7600</v>
      </c>
      <c r="F76" s="39">
        <v>4998.0</v>
      </c>
      <c r="G76" s="49">
        <f t="shared" si="17"/>
        <v>13800</v>
      </c>
      <c r="H76" s="39">
        <v>25.0</v>
      </c>
      <c r="I76" s="49">
        <f>H76+13258</f>
        <v>13283</v>
      </c>
      <c r="J76" s="49">
        <f>G76-I76-20-561</f>
        <v>-64</v>
      </c>
      <c r="K76" s="39">
        <f>+39-20-14-60</f>
        <v>-55</v>
      </c>
      <c r="L76" s="50"/>
      <c r="M76" s="8"/>
      <c r="N76" s="49">
        <f>10+50+70+30+60</f>
        <v>220</v>
      </c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48">
        <v>45883.0</v>
      </c>
      <c r="B77" s="39" t="s">
        <v>25</v>
      </c>
      <c r="C77" s="39">
        <v>1000.0</v>
      </c>
      <c r="D77" s="49">
        <f>sum(E77)+K77+N77+1420</f>
        <v>6321</v>
      </c>
      <c r="E77" s="39">
        <v>4000.0</v>
      </c>
      <c r="F77" s="39">
        <v>1945.0</v>
      </c>
      <c r="G77" s="49">
        <f t="shared" si="17"/>
        <v>8266</v>
      </c>
      <c r="H77" s="49">
        <f>+588+3</f>
        <v>591</v>
      </c>
      <c r="I77" s="49">
        <f>H77+7823</f>
        <v>8414</v>
      </c>
      <c r="J77" s="49">
        <f>G77-I77</f>
        <v>-148</v>
      </c>
      <c r="K77" s="39">
        <f>-10-20-10-7-50+268-10</f>
        <v>161</v>
      </c>
      <c r="L77" s="50"/>
      <c r="M77" s="8"/>
      <c r="N77" s="39">
        <f>150+240+150+90+100+10</f>
        <v>740</v>
      </c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48">
        <v>45884.0</v>
      </c>
      <c r="B78" s="39" t="s">
        <v>27</v>
      </c>
      <c r="C78" s="39">
        <v>1000.0</v>
      </c>
      <c r="D78" s="49">
        <f>sum(E78)+K78+N78+1105</f>
        <v>5138</v>
      </c>
      <c r="E78" s="39">
        <v>3600.0</v>
      </c>
      <c r="F78" s="39">
        <f>4657+656</f>
        <v>5313</v>
      </c>
      <c r="G78" s="49">
        <f t="shared" si="17"/>
        <v>10451</v>
      </c>
      <c r="H78" s="49">
        <f>11</f>
        <v>11</v>
      </c>
      <c r="I78" s="49">
        <f>H78+10346</f>
        <v>10357</v>
      </c>
      <c r="J78" s="49">
        <f>G78-I78+60</f>
        <v>154</v>
      </c>
      <c r="K78" s="49">
        <f>-20-10-20-20+13</f>
        <v>-57</v>
      </c>
      <c r="L78" s="50"/>
      <c r="M78" s="8"/>
      <c r="N78" s="39">
        <f>330+10+50+50+50</f>
        <v>490</v>
      </c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48">
        <v>45885.0</v>
      </c>
      <c r="B79" s="39" t="s">
        <v>28</v>
      </c>
      <c r="C79" s="39">
        <v>1000.0</v>
      </c>
      <c r="D79" s="49">
        <f>sum(E79)+K79+N79+784</f>
        <v>6718</v>
      </c>
      <c r="E79" s="39">
        <f>5600</f>
        <v>5600</v>
      </c>
      <c r="F79" s="39">
        <v>3731.0</v>
      </c>
      <c r="G79" s="49">
        <f t="shared" si="17"/>
        <v>10449</v>
      </c>
      <c r="H79" s="49">
        <f>150+20+80+134+98</f>
        <v>482</v>
      </c>
      <c r="I79" s="49">
        <f>H79+9983</f>
        <v>10465</v>
      </c>
      <c r="J79" s="49">
        <f>G79-I79+81</f>
        <v>65</v>
      </c>
      <c r="K79" s="39">
        <f>-25-6+169-20+16-50</f>
        <v>84</v>
      </c>
      <c r="L79" s="50"/>
      <c r="M79" s="8"/>
      <c r="N79" s="49">
        <f>50+10+20+30+50+40+50</f>
        <v>250</v>
      </c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48">
        <v>45886.0</v>
      </c>
      <c r="B80" s="39" t="s">
        <v>29</v>
      </c>
      <c r="C80" s="39">
        <v>1000.0</v>
      </c>
      <c r="D80" s="49">
        <f>sum(E80)+K80+N80</f>
        <v>0</v>
      </c>
      <c r="E80" s="39">
        <v>0.0</v>
      </c>
      <c r="F80" s="39">
        <v>0.0</v>
      </c>
      <c r="G80" s="49">
        <f t="shared" si="17"/>
        <v>0</v>
      </c>
      <c r="H80" s="39">
        <v>0.0</v>
      </c>
      <c r="I80" s="49">
        <f>H80+0</f>
        <v>0</v>
      </c>
      <c r="J80" s="49">
        <f>G80-I80</f>
        <v>0</v>
      </c>
      <c r="K80" s="39">
        <v>0.0</v>
      </c>
      <c r="L80" s="50"/>
      <c r="M80" s="8"/>
      <c r="N80" s="37">
        <v>0.0</v>
      </c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48">
        <v>45887.0</v>
      </c>
      <c r="B81" s="39" t="s">
        <v>30</v>
      </c>
      <c r="C81" s="39">
        <v>1000.0</v>
      </c>
      <c r="D81" s="49">
        <f>sum(E81)+K81+N81+1060+50</f>
        <v>8221</v>
      </c>
      <c r="E81" s="39">
        <v>6600.0</v>
      </c>
      <c r="F81" s="39">
        <f>2095-900</f>
        <v>1195</v>
      </c>
      <c r="G81" s="49">
        <f t="shared" si="17"/>
        <v>9416</v>
      </c>
      <c r="H81" s="49">
        <f>15+140</f>
        <v>155</v>
      </c>
      <c r="I81" s="49">
        <f>H81+9371</f>
        <v>9526</v>
      </c>
      <c r="J81" s="49">
        <f>G81-I81+62</f>
        <v>-48</v>
      </c>
      <c r="K81" s="49">
        <f>-40-20-50-50+73-30+40-50</f>
        <v>-127</v>
      </c>
      <c r="L81" s="38" t="s">
        <v>84</v>
      </c>
      <c r="M81" s="8"/>
      <c r="N81" s="25">
        <f>100+100+30+358+50</f>
        <v>638</v>
      </c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48">
        <v>45888.0</v>
      </c>
      <c r="B82" s="39" t="s">
        <v>32</v>
      </c>
      <c r="C82" s="39">
        <v>1000.0</v>
      </c>
      <c r="D82" s="49">
        <f>sum(E82)+K82+N82+433+260+398+900</f>
        <v>8506</v>
      </c>
      <c r="E82" s="39">
        <f>6100</f>
        <v>6100</v>
      </c>
      <c r="F82" s="39">
        <v>5939.0</v>
      </c>
      <c r="G82" s="49">
        <f t="shared" si="17"/>
        <v>14445</v>
      </c>
      <c r="H82" s="39">
        <f>70+140++600+85+24</f>
        <v>919</v>
      </c>
      <c r="I82" s="49">
        <f>H82+13588</f>
        <v>14507</v>
      </c>
      <c r="J82" s="49">
        <f>G82-I82+36+40</f>
        <v>14</v>
      </c>
      <c r="K82" s="39">
        <f>-40-20+47-50-16</f>
        <v>-79</v>
      </c>
      <c r="L82" s="38" t="s">
        <v>85</v>
      </c>
      <c r="M82" s="8"/>
      <c r="N82" s="25">
        <f>10+30+54+30+300+70+0</f>
        <v>494</v>
      </c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48">
        <v>45889.0</v>
      </c>
      <c r="B83" s="39" t="s">
        <v>33</v>
      </c>
      <c r="C83" s="39">
        <v>1000.0</v>
      </c>
      <c r="D83" s="49">
        <f>sum(E83)+K83+N83+210</f>
        <v>4880</v>
      </c>
      <c r="E83" s="39">
        <v>4400.0</v>
      </c>
      <c r="F83" s="39">
        <v>7335.0</v>
      </c>
      <c r="G83" s="49">
        <f t="shared" si="17"/>
        <v>12215</v>
      </c>
      <c r="H83" s="49">
        <f>70+28+56+15</f>
        <v>169</v>
      </c>
      <c r="I83" s="49">
        <f>H83+12055+48</f>
        <v>12272</v>
      </c>
      <c r="J83" s="49">
        <f>G83-I83+138+40</f>
        <v>121</v>
      </c>
      <c r="K83" s="49">
        <f>-50-10-50-10-10-10-5+27+50-2</f>
        <v>-70</v>
      </c>
      <c r="L83" s="50"/>
      <c r="M83" s="8"/>
      <c r="N83" s="25">
        <f>10+300+30+0</f>
        <v>340</v>
      </c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48">
        <v>45890.0</v>
      </c>
      <c r="B84" s="39" t="s">
        <v>25</v>
      </c>
      <c r="C84" s="39">
        <v>1000.0</v>
      </c>
      <c r="D84" s="49">
        <f>sum(E84)+K84+N84-270+654</f>
        <v>8950</v>
      </c>
      <c r="E84" s="49">
        <f>8000+500</f>
        <v>8500</v>
      </c>
      <c r="F84" s="39">
        <v>4102.0</v>
      </c>
      <c r="G84" s="49">
        <f t="shared" si="17"/>
        <v>13052</v>
      </c>
      <c r="H84" s="49">
        <f>300+16+240+40+14</f>
        <v>610</v>
      </c>
      <c r="I84" s="49">
        <f>H84+12630</f>
        <v>13240</v>
      </c>
      <c r="J84" s="49">
        <f>G84-I84+80+40+48</f>
        <v>-20</v>
      </c>
      <c r="K84" s="49">
        <f>-4-20-20-20+15</f>
        <v>-49</v>
      </c>
      <c r="L84" s="50"/>
      <c r="M84" s="8"/>
      <c r="N84" s="25">
        <f>10+35+20+50</f>
        <v>115</v>
      </c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48">
        <v>45891.0</v>
      </c>
      <c r="B85" s="39" t="s">
        <v>27</v>
      </c>
      <c r="C85" s="39">
        <v>1000.0</v>
      </c>
      <c r="D85" s="49">
        <f>sum(E85)+K85+N85</f>
        <v>3000</v>
      </c>
      <c r="E85" s="39">
        <v>2900.0</v>
      </c>
      <c r="F85" s="39">
        <v>4148.0</v>
      </c>
      <c r="G85" s="49">
        <f t="shared" si="17"/>
        <v>7148</v>
      </c>
      <c r="H85" s="39">
        <v>6.0</v>
      </c>
      <c r="I85" s="49">
        <f>H85+7265</f>
        <v>7271</v>
      </c>
      <c r="J85" s="49">
        <f>G85-I85+55+20+60</f>
        <v>12</v>
      </c>
      <c r="K85" s="39">
        <f>140-60</f>
        <v>80</v>
      </c>
      <c r="L85" s="50"/>
      <c r="M85" s="8"/>
      <c r="N85" s="25">
        <v>20.0</v>
      </c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48">
        <v>45892.0</v>
      </c>
      <c r="B86" s="39" t="s">
        <v>28</v>
      </c>
      <c r="C86" s="39">
        <v>1000.0</v>
      </c>
      <c r="D86" s="49">
        <f>sum(E86)+K86+N86+684</f>
        <v>5234</v>
      </c>
      <c r="E86" s="39">
        <v>4300.0</v>
      </c>
      <c r="F86" s="39">
        <v>6568.0</v>
      </c>
      <c r="G86" s="49">
        <f t="shared" si="17"/>
        <v>11802</v>
      </c>
      <c r="H86" s="39">
        <v>40.0</v>
      </c>
      <c r="I86" s="49">
        <f>H86+12155</f>
        <v>12195</v>
      </c>
      <c r="J86" s="49">
        <f>G86-I86+31</f>
        <v>-362</v>
      </c>
      <c r="K86" s="49">
        <f>95-5</f>
        <v>90</v>
      </c>
      <c r="L86" s="38" t="s">
        <v>86</v>
      </c>
      <c r="M86" s="8"/>
      <c r="N86" s="25">
        <f>20+60+80</f>
        <v>160</v>
      </c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48">
        <v>45893.0</v>
      </c>
      <c r="B87" s="39" t="s">
        <v>29</v>
      </c>
      <c r="C87" s="39">
        <v>1000.0</v>
      </c>
      <c r="D87" s="49">
        <f>sum(E87)+K87+N87</f>
        <v>0</v>
      </c>
      <c r="E87" s="39">
        <v>0.0</v>
      </c>
      <c r="F87" s="39">
        <v>3223.0</v>
      </c>
      <c r="G87" s="49">
        <f t="shared" si="17"/>
        <v>3223</v>
      </c>
      <c r="H87" s="37">
        <v>0.0</v>
      </c>
      <c r="I87" s="49">
        <f>H87+3223</f>
        <v>3223</v>
      </c>
      <c r="J87" s="49">
        <f>G87-I87</f>
        <v>0</v>
      </c>
      <c r="K87" s="25">
        <v>0.0</v>
      </c>
      <c r="L87" s="50"/>
      <c r="M87" s="8"/>
      <c r="N87" s="25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48">
        <v>45894.0</v>
      </c>
      <c r="B88" s="39" t="s">
        <v>30</v>
      </c>
      <c r="C88" s="39">
        <v>1000.0</v>
      </c>
      <c r="D88" s="49">
        <f>sum(E88)+K88+N88+336+100+135+4079-120</f>
        <v>9062</v>
      </c>
      <c r="E88" s="39">
        <v>4400.0</v>
      </c>
      <c r="F88" s="39">
        <v>4540.0</v>
      </c>
      <c r="G88" s="49">
        <f t="shared" si="17"/>
        <v>13602</v>
      </c>
      <c r="H88" s="5">
        <f>35+711+17</f>
        <v>763</v>
      </c>
      <c r="I88" s="49">
        <f>H88+12369</f>
        <v>13132</v>
      </c>
      <c r="J88" s="49">
        <f>G88-I88-529+19+23+4</f>
        <v>-13</v>
      </c>
      <c r="K88" s="37">
        <f>-10-10+67-55</f>
        <v>-8</v>
      </c>
      <c r="L88" s="38" t="s">
        <v>87</v>
      </c>
      <c r="M88" s="8"/>
      <c r="N88" s="25">
        <f>10+20+110</f>
        <v>140</v>
      </c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48">
        <v>45895.0</v>
      </c>
      <c r="B89" s="39" t="s">
        <v>32</v>
      </c>
      <c r="C89" s="39">
        <v>1000.0</v>
      </c>
      <c r="D89" s="49">
        <f>sum(E89)+K89+N89+3381</f>
        <v>8805</v>
      </c>
      <c r="E89" s="39">
        <v>4600.0</v>
      </c>
      <c r="F89" s="39">
        <v>4414.0</v>
      </c>
      <c r="G89" s="49">
        <f t="shared" si="17"/>
        <v>13219</v>
      </c>
      <c r="H89" s="5">
        <f>4+50</f>
        <v>54</v>
      </c>
      <c r="I89" s="49">
        <f>H89+13263</f>
        <v>13317</v>
      </c>
      <c r="J89" s="49">
        <f>G89-I89+20+12+45+36</f>
        <v>15</v>
      </c>
      <c r="K89" s="37">
        <f>-11-20+130+25</f>
        <v>124</v>
      </c>
      <c r="L89" s="50"/>
      <c r="M89" s="8"/>
      <c r="N89" s="25">
        <f>30+620+20+30</f>
        <v>700</v>
      </c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48">
        <v>45896.0</v>
      </c>
      <c r="B90" s="39" t="s">
        <v>33</v>
      </c>
      <c r="C90" s="39">
        <v>1000.0</v>
      </c>
      <c r="D90" s="49">
        <f>sum(E90)+K90+N90+1112+2777</f>
        <v>7398</v>
      </c>
      <c r="E90" s="39">
        <v>3400.0</v>
      </c>
      <c r="F90" s="39">
        <v>1813.0</v>
      </c>
      <c r="G90" s="49">
        <f t="shared" si="17"/>
        <v>9211</v>
      </c>
      <c r="H90" s="25">
        <f>600+19</f>
        <v>619</v>
      </c>
      <c r="I90" s="49">
        <f>H90+8635</f>
        <v>9254</v>
      </c>
      <c r="J90" s="49">
        <f>G90-I90+65+7</f>
        <v>29</v>
      </c>
      <c r="K90" s="37">
        <f>-10-5-4-2+80+50-20</f>
        <v>89</v>
      </c>
      <c r="L90" s="50"/>
      <c r="M90" s="8"/>
      <c r="N90" s="25">
        <f>20</f>
        <v>20</v>
      </c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48">
        <v>45897.0</v>
      </c>
      <c r="B91" s="39" t="s">
        <v>25</v>
      </c>
      <c r="C91" s="39">
        <v>1000.0</v>
      </c>
      <c r="D91" s="49">
        <f>sum(E91)+K91+N91+3158-170</f>
        <v>7553</v>
      </c>
      <c r="E91" s="39">
        <v>4200.0</v>
      </c>
      <c r="F91" s="39">
        <v>3765.0</v>
      </c>
      <c r="G91" s="49">
        <f t="shared" si="17"/>
        <v>11318</v>
      </c>
      <c r="H91" s="5">
        <f>30+25+20+25+50+30+14</f>
        <v>194</v>
      </c>
      <c r="I91" s="49">
        <f>H91+11239</f>
        <v>11433</v>
      </c>
      <c r="J91" s="49">
        <f>G91-I91+5+4+31+12+25+8+31+12</f>
        <v>13</v>
      </c>
      <c r="K91" s="37">
        <f>-60-100+199</f>
        <v>39</v>
      </c>
      <c r="L91" s="50"/>
      <c r="M91" s="8"/>
      <c r="N91" s="25">
        <f>26+300</f>
        <v>326</v>
      </c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48">
        <v>45898.0</v>
      </c>
      <c r="B92" s="39" t="s">
        <v>27</v>
      </c>
      <c r="C92" s="39">
        <v>1000.0</v>
      </c>
      <c r="D92" s="49">
        <f>sum(E92)+K92+N92+1678</f>
        <v>9708</v>
      </c>
      <c r="E92" s="39">
        <v>8000.0</v>
      </c>
      <c r="F92" s="39">
        <v>1807.0</v>
      </c>
      <c r="G92" s="49">
        <f t="shared" si="17"/>
        <v>11515</v>
      </c>
      <c r="H92" s="25">
        <f>199</f>
        <v>199</v>
      </c>
      <c r="I92" s="49">
        <f>H92+11568</f>
        <v>11767</v>
      </c>
      <c r="J92" s="49">
        <f>G92-I92+75+15+12+250</f>
        <v>100</v>
      </c>
      <c r="K92" s="25">
        <f>-20-25-200+7+58-50</f>
        <v>-230</v>
      </c>
      <c r="L92" s="50"/>
      <c r="M92" s="8"/>
      <c r="N92" s="25">
        <f>10+100+50+100</f>
        <v>260</v>
      </c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48">
        <v>45899.0</v>
      </c>
      <c r="B93" s="39" t="s">
        <v>28</v>
      </c>
      <c r="C93" s="39">
        <v>1000.0</v>
      </c>
      <c r="D93" s="49">
        <f>sum(E93)+K93+N93+1466</f>
        <v>7352</v>
      </c>
      <c r="E93" s="39">
        <v>5900.0</v>
      </c>
      <c r="F93" s="39">
        <v>2762.0</v>
      </c>
      <c r="G93" s="49">
        <f t="shared" si="17"/>
        <v>10114</v>
      </c>
      <c r="H93" s="5">
        <f>126+60+126+19+2</f>
        <v>333</v>
      </c>
      <c r="I93" s="49">
        <f>H93-3575+13456</f>
        <v>10214</v>
      </c>
      <c r="J93" s="49">
        <f>G93-I93+3+80</f>
        <v>-17</v>
      </c>
      <c r="K93" s="37">
        <f>-50-60+66+30</f>
        <v>-14</v>
      </c>
      <c r="L93" s="50"/>
      <c r="M93" s="8"/>
      <c r="N93" s="25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48">
        <v>45900.0</v>
      </c>
      <c r="B94" s="39" t="s">
        <v>29</v>
      </c>
      <c r="C94" s="39">
        <v>1000.0</v>
      </c>
      <c r="D94" s="49">
        <f>sum(E94)+K94+N94</f>
        <v>0</v>
      </c>
      <c r="E94" s="37">
        <v>0.0</v>
      </c>
      <c r="F94" s="39">
        <v>0.0</v>
      </c>
      <c r="G94" s="49">
        <f t="shared" si="17"/>
        <v>0</v>
      </c>
      <c r="H94" s="25">
        <v>0.0</v>
      </c>
      <c r="I94" s="49">
        <f>H94</f>
        <v>0</v>
      </c>
      <c r="J94" s="49">
        <f>G94-I94</f>
        <v>0</v>
      </c>
      <c r="K94" s="37">
        <v>0.0</v>
      </c>
      <c r="L94" s="50"/>
      <c r="M94" s="8"/>
      <c r="N94" s="25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21.0" customHeight="1">
      <c r="A95" s="5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8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48">
        <v>45901.0</v>
      </c>
      <c r="B96" s="39" t="s">
        <v>30</v>
      </c>
      <c r="C96" s="39">
        <v>1000.0</v>
      </c>
      <c r="D96" s="49">
        <f>sum(E96)+K96+N96+D115+800+1872</f>
        <v>23533</v>
      </c>
      <c r="E96" s="25">
        <f>9800</f>
        <v>9800</v>
      </c>
      <c r="F96" s="39">
        <v>11732.0</v>
      </c>
      <c r="G96" s="49">
        <f t="shared" ref="G96:G125" si="21">sum(D96,F96)</f>
        <v>35265</v>
      </c>
      <c r="H96" s="5">
        <f>400+34</f>
        <v>434</v>
      </c>
      <c r="I96" s="49">
        <f>H96+24779</f>
        <v>25213</v>
      </c>
      <c r="J96" s="49">
        <f>G96-I96+190+66+26</f>
        <v>10334</v>
      </c>
      <c r="K96" s="37">
        <f>-50-20-20-20-20-20+59</f>
        <v>-91</v>
      </c>
      <c r="L96" s="50"/>
      <c r="M96" s="8"/>
      <c r="N96" s="25">
        <f>30+30+10+440</f>
        <v>510</v>
      </c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48">
        <v>45902.0</v>
      </c>
      <c r="B97" s="39" t="s">
        <v>32</v>
      </c>
      <c r="C97" s="39">
        <v>1000.0</v>
      </c>
      <c r="D97" s="49">
        <f>sum(E97)+K97+N97+1491</f>
        <v>11450</v>
      </c>
      <c r="E97" s="25">
        <f>2400+7000</f>
        <v>9400</v>
      </c>
      <c r="F97" s="39">
        <v>3836.0</v>
      </c>
      <c r="G97" s="49">
        <f t="shared" si="21"/>
        <v>15286</v>
      </c>
      <c r="H97" s="5">
        <f>100+90+50+152+245+35+600+85+20+430+400</f>
        <v>2207</v>
      </c>
      <c r="I97" s="49">
        <f>H97+13246</f>
        <v>15453</v>
      </c>
      <c r="J97" s="49">
        <f>G97-I97+12+130+175+28+33</f>
        <v>211</v>
      </c>
      <c r="K97" s="25">
        <f>-5-35-30-35-20-10-25-10-51</f>
        <v>-221</v>
      </c>
      <c r="L97" s="50"/>
      <c r="M97" s="8"/>
      <c r="N97" s="25">
        <f>10+10+700+20+10+30</f>
        <v>780</v>
      </c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48">
        <v>45903.0</v>
      </c>
      <c r="B98" s="39" t="s">
        <v>33</v>
      </c>
      <c r="C98" s="39">
        <v>1000.0</v>
      </c>
      <c r="D98" s="49">
        <f>sum(E98)+K98+N98+1295</f>
        <v>8563</v>
      </c>
      <c r="E98" s="25">
        <v>4300.0</v>
      </c>
      <c r="F98" s="39">
        <v>6421.0</v>
      </c>
      <c r="G98" s="49">
        <f t="shared" si="21"/>
        <v>14984</v>
      </c>
      <c r="H98" s="5">
        <f>+480+12+84+80+27+55+150+76+28+20</f>
        <v>1012</v>
      </c>
      <c r="I98" s="49">
        <f>H98+13943</f>
        <v>14955</v>
      </c>
      <c r="J98" s="49">
        <f>G98-I98+36+24+14+24+55</f>
        <v>182</v>
      </c>
      <c r="K98" s="25">
        <f>-42-20-5-100-50-5</f>
        <v>-222</v>
      </c>
      <c r="L98" s="50"/>
      <c r="M98" s="8"/>
      <c r="N98" s="25">
        <f>70+120+3000</f>
        <v>3190</v>
      </c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48">
        <v>45904.0</v>
      </c>
      <c r="B99" s="39" t="s">
        <v>25</v>
      </c>
      <c r="C99" s="39">
        <v>1000.0</v>
      </c>
      <c r="D99" s="49">
        <f>sum(E99)+K99+N99</f>
        <v>9363</v>
      </c>
      <c r="E99" s="25">
        <v>9200.0</v>
      </c>
      <c r="F99" s="39">
        <v>9341.0</v>
      </c>
      <c r="G99" s="49">
        <f t="shared" si="21"/>
        <v>18704</v>
      </c>
      <c r="H99" s="5">
        <f>24+1116</f>
        <v>1140</v>
      </c>
      <c r="I99" s="49">
        <f>H99+17594</f>
        <v>18734</v>
      </c>
      <c r="J99" s="49">
        <f>G99-I99</f>
        <v>-30</v>
      </c>
      <c r="K99" s="37">
        <f>-10-5-5-50-12-10</f>
        <v>-92</v>
      </c>
      <c r="L99" s="50"/>
      <c r="M99" s="8"/>
      <c r="N99" s="25">
        <f>80+40+10+25+100</f>
        <v>255</v>
      </c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48">
        <v>45905.0</v>
      </c>
      <c r="B100" s="39" t="s">
        <v>27</v>
      </c>
      <c r="C100" s="39">
        <v>1000.0</v>
      </c>
      <c r="D100" s="49">
        <f>sum(E100)+K100+N100+1058+880+458+737+250</f>
        <v>12671</v>
      </c>
      <c r="E100" s="25">
        <v>3400.0</v>
      </c>
      <c r="F100" s="39">
        <v>5735.0</v>
      </c>
      <c r="G100" s="49">
        <f t="shared" si="21"/>
        <v>18406</v>
      </c>
      <c r="H100" s="25">
        <f>100+28+168+425+250+880+16</f>
        <v>1867</v>
      </c>
      <c r="I100" s="49">
        <f>H100+16054</f>
        <v>17921</v>
      </c>
      <c r="J100" s="49">
        <f>G100-I100+54+81-392-200</f>
        <v>28</v>
      </c>
      <c r="K100" s="37">
        <f>-3-5-60-40-10-10+6</f>
        <v>-122</v>
      </c>
      <c r="L100" s="38" t="s">
        <v>88</v>
      </c>
      <c r="M100" s="8"/>
      <c r="N100" s="25">
        <f>6000+10</f>
        <v>6010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48">
        <v>45906.0</v>
      </c>
      <c r="B101" s="39" t="s">
        <v>28</v>
      </c>
      <c r="C101" s="39">
        <v>1000.0</v>
      </c>
      <c r="D101" s="49">
        <f>sum(E101)+K101+N101+1898-260-302+460</f>
        <v>11264</v>
      </c>
      <c r="E101" s="25">
        <f>7000+300</f>
        <v>7300</v>
      </c>
      <c r="F101" s="39">
        <f>5277+36</f>
        <v>5313</v>
      </c>
      <c r="G101" s="49">
        <f t="shared" si="21"/>
        <v>16577</v>
      </c>
      <c r="H101" s="5">
        <f>58+40+460+15</f>
        <v>573</v>
      </c>
      <c r="I101" s="49">
        <f>H101+15525+460+336</f>
        <v>16894</v>
      </c>
      <c r="J101" s="49">
        <f>G101-I101+200+24+77</f>
        <v>-16</v>
      </c>
      <c r="K101" s="37">
        <f>-30-30-32-10+90</f>
        <v>-12</v>
      </c>
      <c r="L101" s="50"/>
      <c r="M101" s="8"/>
      <c r="N101" s="25">
        <f>10+40+50+30+50+2000</f>
        <v>2180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48">
        <v>45907.0</v>
      </c>
      <c r="B102" s="39" t="s">
        <v>29</v>
      </c>
      <c r="C102" s="39">
        <v>1000.0</v>
      </c>
      <c r="D102" s="49">
        <f>sum(E102)+K102+N102</f>
        <v>0</v>
      </c>
      <c r="E102" s="25">
        <v>0.0</v>
      </c>
      <c r="F102" s="39">
        <v>0.0</v>
      </c>
      <c r="G102" s="49">
        <f t="shared" si="21"/>
        <v>0</v>
      </c>
      <c r="H102" s="25">
        <v>0.0</v>
      </c>
      <c r="I102" s="49">
        <f>H102+0</f>
        <v>0</v>
      </c>
      <c r="J102" s="49">
        <f>G102-I102</f>
        <v>0</v>
      </c>
      <c r="K102" s="25">
        <v>0.0</v>
      </c>
      <c r="L102" s="50"/>
      <c r="M102" s="8"/>
      <c r="N102" s="25">
        <v>0.0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48">
        <v>45908.0</v>
      </c>
      <c r="B103" s="39" t="s">
        <v>30</v>
      </c>
      <c r="C103" s="39">
        <v>1000.0</v>
      </c>
      <c r="D103" s="49">
        <f>sum(E103)+K103+N103+151+1858+470</f>
        <v>9334</v>
      </c>
      <c r="E103" s="25">
        <v>6500.0</v>
      </c>
      <c r="F103" s="39">
        <v>8913.0</v>
      </c>
      <c r="G103" s="49">
        <f t="shared" si="21"/>
        <v>18247</v>
      </c>
      <c r="H103" s="25">
        <f>15+198+170+70+42</f>
        <v>495</v>
      </c>
      <c r="I103" s="49">
        <f>H103+18598</f>
        <v>19093</v>
      </c>
      <c r="J103" s="49">
        <f>G103-I103+150+10</f>
        <v>-686</v>
      </c>
      <c r="K103" s="25">
        <f>-4-40-40-30-20-5-60-35-10+550-5-5-15+60+4</f>
        <v>345</v>
      </c>
      <c r="L103" s="50"/>
      <c r="M103" s="8"/>
      <c r="N103" s="25">
        <v>10.0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48">
        <v>45909.0</v>
      </c>
      <c r="B104" s="39" t="s">
        <v>32</v>
      </c>
      <c r="C104" s="39">
        <v>1000.0</v>
      </c>
      <c r="D104" s="49">
        <f>sum(E104)+K104+N104+572+450-66</f>
        <v>10575</v>
      </c>
      <c r="E104" s="25">
        <v>8800.0</v>
      </c>
      <c r="F104" s="39">
        <v>7692.0</v>
      </c>
      <c r="G104" s="49">
        <f t="shared" si="21"/>
        <v>18267</v>
      </c>
      <c r="H104" s="25">
        <v>28.0</v>
      </c>
      <c r="I104" s="49">
        <f>H104+21205-3000</f>
        <v>18233</v>
      </c>
      <c r="J104" s="49">
        <f>G104-I104</f>
        <v>34</v>
      </c>
      <c r="K104" s="25">
        <f>-25-11-5-20-10-5-5-30-90</f>
        <v>-201</v>
      </c>
      <c r="L104" s="38" t="s">
        <v>89</v>
      </c>
      <c r="M104" s="8"/>
      <c r="N104" s="25">
        <f>30+885+50+40+15</f>
        <v>1020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48">
        <v>45910.0</v>
      </c>
      <c r="B105" s="39" t="s">
        <v>33</v>
      </c>
      <c r="C105" s="39">
        <v>1000.0</v>
      </c>
      <c r="D105" s="49">
        <f>sum(E105)+K105+N105+275+1126</f>
        <v>10659</v>
      </c>
      <c r="E105" s="25">
        <v>6800.0</v>
      </c>
      <c r="F105" s="39">
        <f>7516+28</f>
        <v>7544</v>
      </c>
      <c r="G105" s="49">
        <f t="shared" si="21"/>
        <v>18203</v>
      </c>
      <c r="H105" s="5">
        <f>35+85+28</f>
        <v>148</v>
      </c>
      <c r="I105" s="49">
        <f>H105+18333</f>
        <v>18481</v>
      </c>
      <c r="J105" s="49">
        <f>G105-I105+120+22+90</f>
        <v>-46</v>
      </c>
      <c r="K105" s="37">
        <f>-25-90-20-5-25-5-20-10-10+38</f>
        <v>-172</v>
      </c>
      <c r="L105" s="50"/>
      <c r="M105" s="8"/>
      <c r="N105" s="25">
        <f>30+2500+50+20+10+20</f>
        <v>2630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48">
        <v>45911.0</v>
      </c>
      <c r="B106" s="39" t="s">
        <v>25</v>
      </c>
      <c r="C106" s="39">
        <v>1000.0</v>
      </c>
      <c r="D106" s="49">
        <f>sum(E106)+K106+N106+222+471+275</f>
        <v>9561</v>
      </c>
      <c r="E106" s="25">
        <f>200+5200</f>
        <v>5400</v>
      </c>
      <c r="F106" s="49">
        <f>-85000+89717</f>
        <v>4717</v>
      </c>
      <c r="G106" s="49">
        <f t="shared" si="21"/>
        <v>14278</v>
      </c>
      <c r="H106" s="5">
        <f>9+44+170</f>
        <v>223</v>
      </c>
      <c r="I106" s="49">
        <f>H106+14193</f>
        <v>14416</v>
      </c>
      <c r="J106" s="49">
        <f>G106-I106+171+80+8+15</f>
        <v>136</v>
      </c>
      <c r="K106" s="25">
        <f>-40-10-20-10-25+98+20+140-30</f>
        <v>123</v>
      </c>
      <c r="L106" s="38" t="s">
        <v>90</v>
      </c>
      <c r="M106" s="8"/>
      <c r="N106" s="25">
        <f>3000+50+20+0</f>
        <v>3070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48">
        <v>45912.0</v>
      </c>
      <c r="B107" s="39" t="s">
        <v>27</v>
      </c>
      <c r="C107" s="39">
        <v>1000.0</v>
      </c>
      <c r="D107" s="49">
        <f>sum(E107)+K107+N107-90</f>
        <v>8117</v>
      </c>
      <c r="E107" s="25">
        <v>8000.0</v>
      </c>
      <c r="F107" s="39">
        <v>6670.0</v>
      </c>
      <c r="G107" s="49">
        <f t="shared" si="21"/>
        <v>14787</v>
      </c>
      <c r="H107" s="25">
        <f>15+30+700</f>
        <v>745</v>
      </c>
      <c r="I107" s="49">
        <f>H107+14215+9</f>
        <v>14969</v>
      </c>
      <c r="J107" s="49">
        <f>G107-I107+130</f>
        <v>-52</v>
      </c>
      <c r="K107" s="37">
        <f>-35-10-8-5-15+90</f>
        <v>17</v>
      </c>
      <c r="L107" s="38" t="s">
        <v>91</v>
      </c>
      <c r="M107" s="8"/>
      <c r="N107" s="25">
        <f>10+100+50+10+20</f>
        <v>190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48">
        <v>45913.0</v>
      </c>
      <c r="B108" s="39" t="s">
        <v>28</v>
      </c>
      <c r="C108" s="39">
        <v>1000.0</v>
      </c>
      <c r="D108" s="49">
        <f>sum(E108)+K108+N108+1534-315</f>
        <v>9169</v>
      </c>
      <c r="E108" s="25">
        <v>7800.0</v>
      </c>
      <c r="F108" s="39">
        <v>5756.0</v>
      </c>
      <c r="G108" s="49">
        <f t="shared" si="21"/>
        <v>14925</v>
      </c>
      <c r="H108" s="5">
        <f>109+26</f>
        <v>135</v>
      </c>
      <c r="I108" s="49">
        <f>H108+14726</f>
        <v>14861</v>
      </c>
      <c r="J108" s="49">
        <f t="shared" ref="J108:J109" si="22">G108-I108</f>
        <v>64</v>
      </c>
      <c r="K108" s="25">
        <f>30-11-10-5-10-10-5-10-5-5+51</f>
        <v>10</v>
      </c>
      <c r="L108" s="50"/>
      <c r="M108" s="8"/>
      <c r="N108" s="25">
        <f>20+30+50+40</f>
        <v>140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48">
        <v>45914.0</v>
      </c>
      <c r="B109" s="39" t="s">
        <v>29</v>
      </c>
      <c r="C109" s="39">
        <v>1000.0</v>
      </c>
      <c r="D109" s="49">
        <f>sum(E109)+K109+N109</f>
        <v>0</v>
      </c>
      <c r="E109" s="5">
        <v>0.0</v>
      </c>
      <c r="F109" s="37">
        <v>0.0</v>
      </c>
      <c r="G109" s="49">
        <f t="shared" si="21"/>
        <v>0</v>
      </c>
      <c r="H109" s="5">
        <v>0.0</v>
      </c>
      <c r="I109" s="49">
        <f>H109+0</f>
        <v>0</v>
      </c>
      <c r="J109" s="49">
        <f t="shared" si="22"/>
        <v>0</v>
      </c>
      <c r="K109" s="37">
        <v>0.0</v>
      </c>
      <c r="L109" s="50"/>
      <c r="M109" s="8"/>
      <c r="N109" s="53">
        <v>0.0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48">
        <v>45915.0</v>
      </c>
      <c r="B110" s="39" t="s">
        <v>30</v>
      </c>
      <c r="C110" s="39">
        <v>1000.0</v>
      </c>
      <c r="D110" s="49">
        <f>sum(E110)+K110+N110+2242-240</f>
        <v>13935</v>
      </c>
      <c r="E110" s="25">
        <v>9900.0</v>
      </c>
      <c r="F110" s="25">
        <v>8589.0</v>
      </c>
      <c r="G110" s="49">
        <f t="shared" si="21"/>
        <v>22524</v>
      </c>
      <c r="H110" s="5">
        <f>+80+20</f>
        <v>100</v>
      </c>
      <c r="I110" s="49">
        <f>H110+23426</f>
        <v>23526</v>
      </c>
      <c r="J110" s="49">
        <f>G110-I110+56+14+81+300+280+320</f>
        <v>49</v>
      </c>
      <c r="K110" s="37">
        <f>-35-15-5-10+18+30</f>
        <v>-17</v>
      </c>
      <c r="L110" s="38"/>
      <c r="M110" s="8"/>
      <c r="N110" s="53">
        <f>50+2000</f>
        <v>2050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48">
        <v>45916.0</v>
      </c>
      <c r="B111" s="39" t="s">
        <v>32</v>
      </c>
      <c r="C111" s="39">
        <v>1000.0</v>
      </c>
      <c r="D111" s="49">
        <f>sum(E111)+K111+N111+2039-315+447</f>
        <v>12849</v>
      </c>
      <c r="E111" s="25">
        <v>10500.0</v>
      </c>
      <c r="F111" s="25">
        <v>4621.0</v>
      </c>
      <c r="G111" s="49">
        <f t="shared" si="21"/>
        <v>17470</v>
      </c>
      <c r="H111" s="5">
        <f>425+20</f>
        <v>445</v>
      </c>
      <c r="I111" s="49">
        <f>H111+17427-110</f>
        <v>17762</v>
      </c>
      <c r="J111" s="49">
        <f>G111-I111+240+180+50</f>
        <v>178</v>
      </c>
      <c r="K111" s="37">
        <f>-15-10-5-10-2-20-5+45-100-50-50</f>
        <v>-222</v>
      </c>
      <c r="L111" s="50"/>
      <c r="M111" s="8"/>
      <c r="N111" s="54">
        <f>360+20+20</f>
        <v>400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48">
        <v>45917.0</v>
      </c>
      <c r="B112" s="39" t="s">
        <v>33</v>
      </c>
      <c r="C112" s="39">
        <v>1000.0</v>
      </c>
      <c r="D112" s="49">
        <f>sum(E112)+K112+N112+395</f>
        <v>4965</v>
      </c>
      <c r="E112" s="25">
        <v>4500.0</v>
      </c>
      <c r="F112" s="25">
        <v>1173.0</v>
      </c>
      <c r="G112" s="49">
        <f t="shared" si="21"/>
        <v>6138</v>
      </c>
      <c r="H112" s="5">
        <f>+20+255</f>
        <v>275</v>
      </c>
      <c r="I112" s="49">
        <f>H112+5987</f>
        <v>6262</v>
      </c>
      <c r="J112" s="49">
        <f>G112-I112+30+10+130</f>
        <v>46</v>
      </c>
      <c r="K112" s="37">
        <f>-40-20-5-5-5-20+70+90-5</f>
        <v>60</v>
      </c>
      <c r="L112" s="50"/>
      <c r="M112" s="8"/>
      <c r="N112" s="54">
        <v>10.0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48">
        <v>45918.0</v>
      </c>
      <c r="B113" s="39" t="s">
        <v>25</v>
      </c>
      <c r="C113" s="39">
        <v>1000.0</v>
      </c>
      <c r="D113" s="49">
        <f>sum(E113)+K113+N113+1985</f>
        <v>8534</v>
      </c>
      <c r="E113" s="25">
        <v>6500.0</v>
      </c>
      <c r="F113" s="25">
        <f>5868+108</f>
        <v>5976</v>
      </c>
      <c r="G113" s="49">
        <f t="shared" si="21"/>
        <v>14510</v>
      </c>
      <c r="H113" s="25">
        <v>17.0</v>
      </c>
      <c r="I113" s="49">
        <f>H113+14287</f>
        <v>14304</v>
      </c>
      <c r="J113" s="49">
        <f>G113-I113-50</f>
        <v>156</v>
      </c>
      <c r="K113" s="37">
        <f>-5-5-2-14-5-24-50-5-5-10-50+59-50</f>
        <v>-166</v>
      </c>
      <c r="L113" s="50"/>
      <c r="M113" s="8"/>
      <c r="N113" s="53">
        <f>100+50+10+55</f>
        <v>215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48">
        <v>45919.0</v>
      </c>
      <c r="B114" s="39" t="s">
        <v>27</v>
      </c>
      <c r="C114" s="39">
        <v>1000.0</v>
      </c>
      <c r="D114" s="49">
        <f>sum(E114)+K114+N114+1888</f>
        <v>9118</v>
      </c>
      <c r="E114" s="25">
        <f>6400</f>
        <v>6400</v>
      </c>
      <c r="F114" s="25">
        <v>5547.0</v>
      </c>
      <c r="G114" s="49">
        <f t="shared" si="21"/>
        <v>14665</v>
      </c>
      <c r="H114" s="25">
        <v>16.0</v>
      </c>
      <c r="I114" s="49">
        <f>H114+14693</f>
        <v>14709</v>
      </c>
      <c r="J114" s="49">
        <f>G114-I114+58</f>
        <v>14</v>
      </c>
      <c r="K114" s="25">
        <f>-10-40-20-20-5-20-15-10-5-10-5-15-5+80</f>
        <v>-100</v>
      </c>
      <c r="L114" s="38" t="s">
        <v>92</v>
      </c>
      <c r="M114" s="8"/>
      <c r="N114" s="53">
        <f>20+910</f>
        <v>930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48">
        <v>45920.0</v>
      </c>
      <c r="B115" s="39" t="s">
        <v>28</v>
      </c>
      <c r="C115" s="39">
        <v>1000.0</v>
      </c>
      <c r="D115" s="49">
        <f>sum(E115)+K115+N115+2873</f>
        <v>10642</v>
      </c>
      <c r="E115" s="25">
        <v>6100.0</v>
      </c>
      <c r="F115" s="25">
        <v>5103.0</v>
      </c>
      <c r="G115" s="49">
        <f t="shared" si="21"/>
        <v>15745</v>
      </c>
      <c r="H115" s="5">
        <f>20</f>
        <v>20</v>
      </c>
      <c r="I115" s="49">
        <f>H115+16000</f>
        <v>16020</v>
      </c>
      <c r="J115" s="49">
        <f>G115-I115+260</f>
        <v>-15</v>
      </c>
      <c r="K115" s="37">
        <f>-10-5-15-47-10-20-150-5+81+10</f>
        <v>-171</v>
      </c>
      <c r="L115" s="38" t="s">
        <v>93</v>
      </c>
      <c r="M115" s="8"/>
      <c r="N115" s="54">
        <f>10+40+800+480+470+40</f>
        <v>1840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48">
        <v>45921.0</v>
      </c>
      <c r="B116" s="39" t="s">
        <v>29</v>
      </c>
      <c r="C116" s="39">
        <v>1000.0</v>
      </c>
      <c r="D116" s="49">
        <f>sum(E116)+K116+N116</f>
        <v>0</v>
      </c>
      <c r="E116" s="5">
        <v>0.0</v>
      </c>
      <c r="F116" s="5">
        <v>0.0</v>
      </c>
      <c r="G116" s="49">
        <f t="shared" si="21"/>
        <v>0</v>
      </c>
      <c r="H116" s="5">
        <v>0.0</v>
      </c>
      <c r="I116" s="49">
        <f>H116+0</f>
        <v>0</v>
      </c>
      <c r="J116" s="49">
        <f>G116-I116</f>
        <v>0</v>
      </c>
      <c r="K116" s="37">
        <v>0.0</v>
      </c>
      <c r="L116" s="50"/>
      <c r="M116" s="8"/>
      <c r="N116" s="53">
        <v>0.0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48">
        <v>45922.0</v>
      </c>
      <c r="B117" s="39" t="s">
        <v>30</v>
      </c>
      <c r="C117" s="39">
        <v>1000.0</v>
      </c>
      <c r="D117" s="49">
        <f>sum(E117)+K117+N117+2072-346</f>
        <v>10875</v>
      </c>
      <c r="E117" s="25">
        <v>8500.0</v>
      </c>
      <c r="F117" s="25">
        <v>5894.0</v>
      </c>
      <c r="G117" s="49">
        <f t="shared" si="21"/>
        <v>16769</v>
      </c>
      <c r="H117" s="5">
        <f>16+50+80+333+75</f>
        <v>554</v>
      </c>
      <c r="I117" s="49">
        <f>H117+16244</f>
        <v>16798</v>
      </c>
      <c r="J117" s="49">
        <f>G117-I117+18+60</f>
        <v>49</v>
      </c>
      <c r="K117" s="37">
        <f>-10-5-5-15-15-5-20-10-6-15-5-20</f>
        <v>-131</v>
      </c>
      <c r="L117" s="38" t="s">
        <v>94</v>
      </c>
      <c r="M117" s="8"/>
      <c r="N117" s="53">
        <f>20+10+520+230</f>
        <v>780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48">
        <v>45923.0</v>
      </c>
      <c r="B118" s="39" t="s">
        <v>32</v>
      </c>
      <c r="C118" s="39">
        <v>1000.0</v>
      </c>
      <c r="D118" s="49">
        <f>sum(E118)+K118+N118+1779</f>
        <v>15553</v>
      </c>
      <c r="E118" s="25">
        <v>13800.0</v>
      </c>
      <c r="F118" s="25">
        <v>4440.0</v>
      </c>
      <c r="G118" s="49">
        <f t="shared" si="21"/>
        <v>19993</v>
      </c>
      <c r="H118" s="5">
        <f>35+170+85</f>
        <v>290</v>
      </c>
      <c r="I118" s="49">
        <f>H118+20331</f>
        <v>20621</v>
      </c>
      <c r="J118" s="49">
        <f>G118-I118+166+216+88+11++198</f>
        <v>51</v>
      </c>
      <c r="K118" s="25">
        <f>-20-5-10-7-15-5-5-7-15-5-2-10-10-15-5</f>
        <v>-136</v>
      </c>
      <c r="L118" s="50"/>
      <c r="M118" s="8"/>
      <c r="N118" s="54">
        <f>60+50</f>
        <v>110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48">
        <v>45924.0</v>
      </c>
      <c r="B119" s="39" t="s">
        <v>33</v>
      </c>
      <c r="C119" s="39">
        <v>1000.0</v>
      </c>
      <c r="D119" s="49">
        <f>sum(E119)+K119+N119+1220</f>
        <v>10172</v>
      </c>
      <c r="E119" s="25">
        <v>9000.0</v>
      </c>
      <c r="F119" s="25">
        <v>4391.0</v>
      </c>
      <c r="G119" s="49">
        <f t="shared" si="21"/>
        <v>14563</v>
      </c>
      <c r="H119" s="5">
        <f>78+25+68+86</f>
        <v>257</v>
      </c>
      <c r="I119" s="49">
        <f>H119+14130</f>
        <v>14387</v>
      </c>
      <c r="J119" s="49">
        <f>G119-I119</f>
        <v>176</v>
      </c>
      <c r="K119" s="37">
        <f>-100-5-10-7-50-5+19+80</f>
        <v>-78</v>
      </c>
      <c r="L119" s="38" t="s">
        <v>95</v>
      </c>
      <c r="M119" s="8"/>
      <c r="N119" s="54">
        <f>20+10</f>
        <v>30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48">
        <v>45925.0</v>
      </c>
      <c r="B120" s="39" t="s">
        <v>25</v>
      </c>
      <c r="C120" s="39">
        <v>1000.0</v>
      </c>
      <c r="D120" s="49">
        <f>sum(E120)+K120+N120+210</f>
        <v>10806</v>
      </c>
      <c r="E120" s="25">
        <v>10200.0</v>
      </c>
      <c r="F120" s="25">
        <v>4732.0</v>
      </c>
      <c r="G120" s="49">
        <f t="shared" si="21"/>
        <v>15538</v>
      </c>
      <c r="H120" s="5">
        <f>20+21+47+48</f>
        <v>136</v>
      </c>
      <c r="I120" s="49">
        <f>H120+42803</f>
        <v>42939</v>
      </c>
      <c r="J120" s="49">
        <f>G120-I120+27382</f>
        <v>-19</v>
      </c>
      <c r="K120" s="37">
        <f>-4-2-32-10-7-20-3-14-10-10+68+50</f>
        <v>6</v>
      </c>
      <c r="L120" s="55"/>
      <c r="M120" s="55"/>
      <c r="N120" s="54">
        <f>50+30+300+10</f>
        <v>390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48">
        <v>45926.0</v>
      </c>
      <c r="B121" s="39" t="s">
        <v>27</v>
      </c>
      <c r="C121" s="39">
        <v>1000.0</v>
      </c>
      <c r="D121" s="49">
        <f>sum(E121)+K121+N121+122+936+134-308-115</f>
        <v>9920</v>
      </c>
      <c r="E121" s="25">
        <v>9100.0</v>
      </c>
      <c r="F121" s="25">
        <f>5318+337</f>
        <v>5655</v>
      </c>
      <c r="G121" s="49">
        <f t="shared" si="21"/>
        <v>15575</v>
      </c>
      <c r="H121" s="25">
        <f>28+220+192+70+48+48+70+170+70</f>
        <v>916</v>
      </c>
      <c r="I121" s="49">
        <f>H121+14334+337</f>
        <v>15587</v>
      </c>
      <c r="J121" s="49">
        <f>G121-I121</f>
        <v>-12</v>
      </c>
      <c r="K121" s="5">
        <f>-4-10-3-70-2-5-5-7+47-40</f>
        <v>-99</v>
      </c>
      <c r="L121" s="38" t="s">
        <v>96</v>
      </c>
      <c r="M121" s="8"/>
      <c r="N121" s="54">
        <f>100+10+40</f>
        <v>150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48">
        <v>45927.0</v>
      </c>
      <c r="B122" s="39" t="s">
        <v>28</v>
      </c>
      <c r="C122" s="39">
        <v>1000.0</v>
      </c>
      <c r="D122" s="49">
        <f>sum(E122)+K122+N122+686+580</f>
        <v>12607</v>
      </c>
      <c r="E122" s="25">
        <v>11300.0</v>
      </c>
      <c r="F122" s="25">
        <v>6059.0</v>
      </c>
      <c r="G122" s="49">
        <f t="shared" si="21"/>
        <v>18666</v>
      </c>
      <c r="H122" s="5">
        <f>28+146+50+50+47+300+200+57</f>
        <v>878</v>
      </c>
      <c r="I122" s="39">
        <v>17625.0</v>
      </c>
      <c r="J122" s="49">
        <f>G122-I122-H122</f>
        <v>163</v>
      </c>
      <c r="K122" s="25">
        <f>-25-7-7-2-13-5</f>
        <v>-59</v>
      </c>
      <c r="L122" s="50"/>
      <c r="M122" s="8"/>
      <c r="N122" s="54">
        <f>60+20+20</f>
        <v>100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48">
        <v>45928.0</v>
      </c>
      <c r="B123" s="39" t="s">
        <v>29</v>
      </c>
      <c r="C123" s="39">
        <v>1000.0</v>
      </c>
      <c r="D123" s="49">
        <f t="shared" ref="D123:D125" si="23">sum(E123)+K123+N123</f>
        <v>0</v>
      </c>
      <c r="E123" s="39">
        <v>0.0</v>
      </c>
      <c r="F123" s="5">
        <v>0.0</v>
      </c>
      <c r="G123" s="49">
        <f t="shared" si="21"/>
        <v>0</v>
      </c>
      <c r="H123" s="5">
        <v>0.0</v>
      </c>
      <c r="I123" s="49">
        <f>H123+0</f>
        <v>0</v>
      </c>
      <c r="J123" s="49">
        <f t="shared" ref="J123:J124" si="24">G123-I123</f>
        <v>0</v>
      </c>
      <c r="K123" s="5"/>
      <c r="L123" s="50"/>
      <c r="M123" s="8"/>
      <c r="N123" s="53">
        <v>0.0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48">
        <v>45929.0</v>
      </c>
      <c r="B124" s="39" t="s">
        <v>30</v>
      </c>
      <c r="C124" s="39">
        <v>1000.0</v>
      </c>
      <c r="D124" s="49">
        <f t="shared" si="23"/>
        <v>9000</v>
      </c>
      <c r="E124" s="39">
        <v>4000.0</v>
      </c>
      <c r="F124" s="25">
        <v>7569.0</v>
      </c>
      <c r="G124" s="49">
        <f t="shared" si="21"/>
        <v>16569</v>
      </c>
      <c r="H124" s="25">
        <f>397+180+65+55+180+125</f>
        <v>1002</v>
      </c>
      <c r="I124" s="49">
        <f>H124+15290</f>
        <v>16292</v>
      </c>
      <c r="J124" s="49">
        <f t="shared" si="24"/>
        <v>277</v>
      </c>
      <c r="K124" s="5">
        <f>-22-5-5-5-15-5+57</f>
        <v>0</v>
      </c>
      <c r="L124" s="38" t="s">
        <v>97</v>
      </c>
      <c r="M124" s="8"/>
      <c r="N124" s="54">
        <v>5000.0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48">
        <v>45930.0</v>
      </c>
      <c r="B125" s="39" t="s">
        <v>32</v>
      </c>
      <c r="C125" s="39">
        <v>1000.0</v>
      </c>
      <c r="D125" s="49">
        <f t="shared" si="23"/>
        <v>2320</v>
      </c>
      <c r="E125" s="39">
        <v>2300.0</v>
      </c>
      <c r="F125" s="25">
        <v>6996.0</v>
      </c>
      <c r="G125" s="49">
        <f t="shared" si="21"/>
        <v>9316</v>
      </c>
      <c r="H125" s="25">
        <v>60.0</v>
      </c>
      <c r="I125" s="49">
        <f>H125+9826</f>
        <v>9886</v>
      </c>
      <c r="J125" s="49">
        <f>-14-7</f>
        <v>-21</v>
      </c>
      <c r="K125" s="5">
        <f>20</f>
        <v>20</v>
      </c>
      <c r="L125" s="50"/>
      <c r="M125" s="8"/>
      <c r="N125" s="53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5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48">
        <v>45931.0</v>
      </c>
      <c r="B127" s="39" t="s">
        <v>33</v>
      </c>
      <c r="C127" s="39">
        <v>1000.0</v>
      </c>
      <c r="D127" s="49">
        <f>sum(E127)+K127+N127+1044</f>
        <v>3788</v>
      </c>
      <c r="E127" s="39">
        <v>2800.0</v>
      </c>
      <c r="F127" s="25">
        <v>4328.0</v>
      </c>
      <c r="G127" s="49">
        <f t="shared" ref="G127:G138" si="25">sum(D127,F127)</f>
        <v>8116</v>
      </c>
      <c r="H127" s="5">
        <f>13+48+140+75</f>
        <v>276</v>
      </c>
      <c r="I127" s="49">
        <f>H127+7970+25</f>
        <v>8271</v>
      </c>
      <c r="J127" s="49">
        <f>G127-I127+165</f>
        <v>10</v>
      </c>
      <c r="K127" s="5">
        <f>-7-27-7-50-5+20</f>
        <v>-76</v>
      </c>
      <c r="L127" s="38" t="s">
        <v>98</v>
      </c>
      <c r="M127" s="8"/>
      <c r="N127" s="54">
        <v>20.0</v>
      </c>
      <c r="O127" s="56">
        <f>31-4</f>
        <v>27</v>
      </c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48">
        <v>45932.0</v>
      </c>
      <c r="B128" s="39" t="s">
        <v>25</v>
      </c>
      <c r="C128" s="39">
        <v>1000.0</v>
      </c>
      <c r="D128" s="49">
        <f>sum(E128)+K128+N128</f>
        <v>783</v>
      </c>
      <c r="E128" s="49">
        <f>1000+30</f>
        <v>1030</v>
      </c>
      <c r="F128" s="25">
        <v>0.0</v>
      </c>
      <c r="G128" s="49">
        <f t="shared" si="25"/>
        <v>783</v>
      </c>
      <c r="H128" s="25">
        <v>0.0</v>
      </c>
      <c r="I128" s="49">
        <f>H128+783</f>
        <v>783</v>
      </c>
      <c r="J128" s="49">
        <f>G128-I128</f>
        <v>0</v>
      </c>
      <c r="K128" s="25">
        <v>-247.0</v>
      </c>
      <c r="L128" s="50"/>
      <c r="M128" s="8"/>
      <c r="N128" s="53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48">
        <v>45933.0</v>
      </c>
      <c r="B129" s="39" t="s">
        <v>27</v>
      </c>
      <c r="C129" s="39">
        <v>1000.0</v>
      </c>
      <c r="D129" s="49">
        <f>sum(E129)+K129+N129+2029</f>
        <v>17251</v>
      </c>
      <c r="E129" s="49">
        <f>13500+1600</f>
        <v>15100</v>
      </c>
      <c r="F129" s="25">
        <v>9327.0</v>
      </c>
      <c r="G129" s="49">
        <f t="shared" si="25"/>
        <v>26578</v>
      </c>
      <c r="H129" s="5">
        <f>20</f>
        <v>20</v>
      </c>
      <c r="I129" s="49">
        <f>H129+26643</f>
        <v>26663</v>
      </c>
      <c r="J129" s="49">
        <f>G129-I129+60+14</f>
        <v>-11</v>
      </c>
      <c r="K129" s="25">
        <f>-5-30+99</f>
        <v>64</v>
      </c>
      <c r="L129" s="50"/>
      <c r="M129" s="8"/>
      <c r="N129" s="54">
        <f>28+10+20</f>
        <v>58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48">
        <v>45934.0</v>
      </c>
      <c r="B130" s="39" t="s">
        <v>28</v>
      </c>
      <c r="C130" s="39">
        <v>1000.0</v>
      </c>
      <c r="D130" s="49">
        <f>sum(E130)+K130+N130+2083</f>
        <v>11489</v>
      </c>
      <c r="E130" s="49">
        <f>1200+8000</f>
        <v>9200</v>
      </c>
      <c r="F130" s="25">
        <v>3053.0</v>
      </c>
      <c r="G130" s="49">
        <f t="shared" si="25"/>
        <v>14542</v>
      </c>
      <c r="H130" s="5">
        <f>18</f>
        <v>18</v>
      </c>
      <c r="I130" s="49">
        <f>H130+15049</f>
        <v>15067</v>
      </c>
      <c r="J130" s="49">
        <f>G130-I130+220</f>
        <v>-305</v>
      </c>
      <c r="K130" s="5">
        <f>+106</f>
        <v>106</v>
      </c>
      <c r="L130" s="50"/>
      <c r="M130" s="8"/>
      <c r="N130" s="53">
        <f>50+20+20+10</f>
        <v>100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48">
        <v>45935.0</v>
      </c>
      <c r="B131" s="39" t="s">
        <v>29</v>
      </c>
      <c r="C131" s="39">
        <v>1000.0</v>
      </c>
      <c r="D131" s="49">
        <f>sum(E131)+K131+N131</f>
        <v>0</v>
      </c>
      <c r="E131" s="39">
        <v>0.0</v>
      </c>
      <c r="F131" s="5">
        <v>0.0</v>
      </c>
      <c r="G131" s="49">
        <f t="shared" si="25"/>
        <v>0</v>
      </c>
      <c r="H131" s="5">
        <v>0.0</v>
      </c>
      <c r="I131" s="49">
        <f>H131+0</f>
        <v>0</v>
      </c>
      <c r="J131" s="49">
        <f>G131-I131</f>
        <v>0</v>
      </c>
      <c r="K131" s="5">
        <v>0.0</v>
      </c>
      <c r="L131" s="50"/>
      <c r="M131" s="8"/>
      <c r="N131" s="53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48">
        <v>45936.0</v>
      </c>
      <c r="B132" s="39" t="s">
        <v>30</v>
      </c>
      <c r="C132" s="39">
        <v>1000.0</v>
      </c>
      <c r="D132" s="49">
        <f>sum(E132)+K132+N132+1045</f>
        <v>6101</v>
      </c>
      <c r="E132" s="49">
        <f>5100</f>
        <v>5100</v>
      </c>
      <c r="F132" s="25">
        <v>2728.0</v>
      </c>
      <c r="G132" s="49">
        <f t="shared" si="25"/>
        <v>8829</v>
      </c>
      <c r="H132" s="5">
        <f>252</f>
        <v>252</v>
      </c>
      <c r="I132" s="49">
        <f>H132+8721+66</f>
        <v>9039</v>
      </c>
      <c r="J132" s="49">
        <f>G132-I132+90+90+35</f>
        <v>5</v>
      </c>
      <c r="K132" s="25">
        <f>-14-20-100+15-5+70</f>
        <v>-54</v>
      </c>
      <c r="L132" s="50"/>
      <c r="M132" s="8"/>
      <c r="N132" s="53">
        <f>10</f>
        <v>10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48">
        <v>45937.0</v>
      </c>
      <c r="B133" s="39" t="s">
        <v>32</v>
      </c>
      <c r="C133" s="39">
        <v>1000.0</v>
      </c>
      <c r="D133" s="49">
        <f>sum(E133)+K133+N133+2979</f>
        <v>14235</v>
      </c>
      <c r="E133" s="49">
        <f>8000+2700</f>
        <v>10700</v>
      </c>
      <c r="F133" s="25">
        <v>8234.0</v>
      </c>
      <c r="G133" s="49">
        <f t="shared" si="25"/>
        <v>22469</v>
      </c>
      <c r="H133" s="5">
        <f>131</f>
        <v>131</v>
      </c>
      <c r="I133" s="49">
        <f>H133+21781</f>
        <v>21912</v>
      </c>
      <c r="J133" s="49">
        <f>G133-I133+86+34-30-693</f>
        <v>-46</v>
      </c>
      <c r="K133" s="5">
        <f>-20-20-20-7-2-20+15</f>
        <v>-74</v>
      </c>
      <c r="L133" s="38" t="s">
        <v>99</v>
      </c>
      <c r="M133" s="8"/>
      <c r="N133" s="53">
        <f>630</f>
        <v>630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8.0" customHeight="1">
      <c r="A134" s="48">
        <v>45938.0</v>
      </c>
      <c r="B134" s="39" t="s">
        <v>33</v>
      </c>
      <c r="C134" s="39">
        <v>1000.0</v>
      </c>
      <c r="D134" s="49">
        <f>sum(E134)+K134+N134+2649</f>
        <v>14031</v>
      </c>
      <c r="E134" s="49">
        <f>3800+7500</f>
        <v>11300</v>
      </c>
      <c r="F134" s="25">
        <v>4814.0</v>
      </c>
      <c r="G134" s="49">
        <f t="shared" si="25"/>
        <v>18845</v>
      </c>
      <c r="H134" s="5">
        <f>230+64+50+90+75+70+20</f>
        <v>599</v>
      </c>
      <c r="I134" s="49">
        <f>H134+18149</f>
        <v>18748</v>
      </c>
      <c r="J134" s="49">
        <f>G134-I134</f>
        <v>97</v>
      </c>
      <c r="K134" s="5">
        <f>-10+92</f>
        <v>82</v>
      </c>
      <c r="L134" s="50"/>
      <c r="M134" s="8"/>
      <c r="N134" s="53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48">
        <v>45939.0</v>
      </c>
      <c r="B135" s="39" t="s">
        <v>25</v>
      </c>
      <c r="C135" s="39">
        <v>1000.0</v>
      </c>
      <c r="D135" s="49">
        <f>sum(E135)+K135+N135+2022+267+237+38</f>
        <v>16994</v>
      </c>
      <c r="E135" s="39">
        <v>8800.0</v>
      </c>
      <c r="F135" s="25">
        <v>4707.0</v>
      </c>
      <c r="G135" s="49">
        <f t="shared" si="25"/>
        <v>21701</v>
      </c>
      <c r="H135" s="5">
        <f>20</f>
        <v>20</v>
      </c>
      <c r="I135" s="49">
        <f>H135+22359</f>
        <v>22379</v>
      </c>
      <c r="J135" s="49">
        <f>G135-I135+97+396+97+36+14+30</f>
        <v>-8</v>
      </c>
      <c r="K135" s="25">
        <v>0.0</v>
      </c>
      <c r="L135" s="50"/>
      <c r="M135" s="8"/>
      <c r="N135" s="54">
        <f>100+50+480+5000</f>
        <v>5630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48">
        <v>45940.0</v>
      </c>
      <c r="B136" s="39" t="s">
        <v>27</v>
      </c>
      <c r="C136" s="39">
        <v>1000.0</v>
      </c>
      <c r="D136" s="49">
        <f>sum(E136)+K136+N136+695</f>
        <v>14473</v>
      </c>
      <c r="E136" s="39">
        <v>13600.0</v>
      </c>
      <c r="F136" s="25">
        <v>6684.0</v>
      </c>
      <c r="G136" s="49">
        <f t="shared" si="25"/>
        <v>21157</v>
      </c>
      <c r="H136" s="5">
        <f>10+11+188+206+99</f>
        <v>514</v>
      </c>
      <c r="I136" s="49">
        <f>H136+21014</f>
        <v>21528</v>
      </c>
      <c r="J136" s="49">
        <f>G136-I136+313+139+9+313</f>
        <v>403</v>
      </c>
      <c r="K136" s="25">
        <f>-2-90-10</f>
        <v>-102</v>
      </c>
      <c r="L136" s="38" t="s">
        <v>100</v>
      </c>
      <c r="M136" s="8"/>
      <c r="N136" s="54">
        <f>20+200+20+30+10</f>
        <v>280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48">
        <v>45941.0</v>
      </c>
      <c r="B137" s="39" t="s">
        <v>28</v>
      </c>
      <c r="C137" s="39">
        <v>1000.0</v>
      </c>
      <c r="D137" s="49">
        <f>sum(E137)+K137+N137+421+258</f>
        <v>11156</v>
      </c>
      <c r="E137" s="39">
        <v>10100.0</v>
      </c>
      <c r="F137" s="25">
        <v>2013.0</v>
      </c>
      <c r="G137" s="49">
        <f t="shared" si="25"/>
        <v>13169</v>
      </c>
      <c r="H137" s="25">
        <v>55.0</v>
      </c>
      <c r="I137" s="49">
        <f>H137+13422</f>
        <v>13477</v>
      </c>
      <c r="J137" s="49">
        <f>G137-I137+152+140</f>
        <v>-16</v>
      </c>
      <c r="K137" s="5">
        <f>+230-50</f>
        <v>180</v>
      </c>
      <c r="L137" s="50"/>
      <c r="M137" s="8"/>
      <c r="N137" s="53">
        <f>50+100+47</f>
        <v>197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48">
        <v>45942.0</v>
      </c>
      <c r="B138" s="39" t="s">
        <v>29</v>
      </c>
      <c r="C138" s="39">
        <v>1000.0</v>
      </c>
      <c r="D138" s="49">
        <f>sum(E138)+K138+N138</f>
        <v>0</v>
      </c>
      <c r="E138" s="37">
        <v>0.0</v>
      </c>
      <c r="F138" s="5">
        <v>0.0</v>
      </c>
      <c r="G138" s="49">
        <f t="shared" si="25"/>
        <v>0</v>
      </c>
      <c r="H138" s="5">
        <v>0.0</v>
      </c>
      <c r="I138" s="49">
        <f>H138+0</f>
        <v>0</v>
      </c>
      <c r="J138" s="49">
        <f>G138-I138</f>
        <v>0</v>
      </c>
      <c r="K138" s="5">
        <v>0.0</v>
      </c>
      <c r="L138" s="50"/>
      <c r="M138" s="8"/>
      <c r="N138" s="53">
        <v>0.0</v>
      </c>
      <c r="O138" s="9"/>
      <c r="P138" s="56"/>
      <c r="Q138" s="9"/>
      <c r="R138" s="9"/>
      <c r="S138" s="9"/>
      <c r="T138" s="9"/>
      <c r="U138" s="9"/>
      <c r="V138" s="9"/>
      <c r="W138" s="9"/>
      <c r="X138" s="9"/>
    </row>
    <row r="139">
      <c r="A139" s="48">
        <v>45943.0</v>
      </c>
      <c r="B139" s="39" t="s">
        <v>30</v>
      </c>
      <c r="C139" s="39">
        <v>1000.0</v>
      </c>
      <c r="D139" s="49">
        <f>sum(E139)+K139+N139-230</f>
        <v>15890</v>
      </c>
      <c r="E139" s="25">
        <v>7900.0</v>
      </c>
      <c r="F139" s="25">
        <f>8521+44</f>
        <v>8565</v>
      </c>
      <c r="G139" s="49">
        <f>sum(D139,F139)+42+146</f>
        <v>24643</v>
      </c>
      <c r="H139" s="5">
        <f>52+428+195+202+52+62</f>
        <v>991</v>
      </c>
      <c r="I139" s="49">
        <f>H139+23400+44</f>
        <v>24435</v>
      </c>
      <c r="J139" s="49">
        <f>G139-I139+20+33</f>
        <v>261</v>
      </c>
      <c r="K139" s="5">
        <f>-20-40-20-10-230</f>
        <v>-320</v>
      </c>
      <c r="L139" s="38" t="s">
        <v>101</v>
      </c>
      <c r="M139" s="8"/>
      <c r="N139" s="25">
        <f>480+50+8000+10</f>
        <v>8540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48">
        <v>45944.0</v>
      </c>
      <c r="B140" s="39" t="s">
        <v>32</v>
      </c>
      <c r="C140" s="39">
        <v>1000.0</v>
      </c>
      <c r="D140" s="49">
        <f>sum(E140)+K140+N140-330+135</f>
        <v>18131</v>
      </c>
      <c r="E140" s="25">
        <f>15400+2500</f>
        <v>17900</v>
      </c>
      <c r="F140" s="25">
        <v>6330.0</v>
      </c>
      <c r="G140" s="49">
        <f t="shared" ref="G140:G157" si="26">sum(D140,F140)</f>
        <v>24461</v>
      </c>
      <c r="H140" s="5">
        <f>52+50+43</f>
        <v>145</v>
      </c>
      <c r="I140" s="49">
        <f>H140+24839</f>
        <v>24984</v>
      </c>
      <c r="J140" s="49">
        <f>G140-I140+43+53+43+45+8+125</f>
        <v>-206</v>
      </c>
      <c r="K140" s="5">
        <f>-10+13</f>
        <v>3</v>
      </c>
      <c r="L140" s="38" t="s">
        <v>102</v>
      </c>
      <c r="M140" s="8"/>
      <c r="N140" s="25">
        <f>98+305+10+10</f>
        <v>423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48">
        <v>45945.0</v>
      </c>
      <c r="B141" s="39" t="s">
        <v>33</v>
      </c>
      <c r="C141" s="39">
        <v>1000.0</v>
      </c>
      <c r="D141" s="49">
        <f>sum(E141)+K141+N141-690-180+1657</f>
        <v>11465</v>
      </c>
      <c r="E141" s="25">
        <v>10500.0</v>
      </c>
      <c r="F141" s="25">
        <v>2468.0</v>
      </c>
      <c r="G141" s="49">
        <f t="shared" si="26"/>
        <v>13933</v>
      </c>
      <c r="H141" s="5">
        <f>+38+112</f>
        <v>150</v>
      </c>
      <c r="I141" s="49">
        <f>H141+15426</f>
        <v>15576</v>
      </c>
      <c r="J141" s="49">
        <f>G141-I141+85+60+862+73+184+70+114+40+73</f>
        <v>-82</v>
      </c>
      <c r="K141" s="5">
        <f>-20-10-40+125+50</f>
        <v>105</v>
      </c>
      <c r="L141" s="38" t="s">
        <v>103</v>
      </c>
      <c r="M141" s="8"/>
      <c r="N141" s="25">
        <f>15+28+10+20</f>
        <v>73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48">
        <v>45946.0</v>
      </c>
      <c r="B142" s="39" t="s">
        <v>25</v>
      </c>
      <c r="C142" s="39">
        <v>1000.0</v>
      </c>
      <c r="D142" s="49">
        <f>sum(E142)+K142+N142+440</f>
        <v>14152</v>
      </c>
      <c r="E142" s="25">
        <f>12000+1500</f>
        <v>13500</v>
      </c>
      <c r="F142" s="25">
        <f>5225+56</f>
        <v>5281</v>
      </c>
      <c r="G142" s="49">
        <f t="shared" si="26"/>
        <v>19433</v>
      </c>
      <c r="H142" s="5">
        <f>35+180+112+65+253+90+70+114</f>
        <v>919</v>
      </c>
      <c r="I142" s="49">
        <f>H142+19048</f>
        <v>19967</v>
      </c>
      <c r="J142" s="49">
        <f>G142-I142+36+207+33+21+40</f>
        <v>-197</v>
      </c>
      <c r="K142" s="5">
        <f>-50+106-50+6</f>
        <v>12</v>
      </c>
      <c r="L142" s="50"/>
      <c r="M142" s="8"/>
      <c r="N142" s="25">
        <f>150+30+20</f>
        <v>200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48">
        <v>45947.0</v>
      </c>
      <c r="B143" s="39" t="s">
        <v>27</v>
      </c>
      <c r="C143" s="39">
        <v>1000.0</v>
      </c>
      <c r="D143" s="49">
        <f>sum(E143)+K143+N143-180-45</f>
        <v>21217</v>
      </c>
      <c r="E143" s="25">
        <f>20200+1100</f>
        <v>21300</v>
      </c>
      <c r="F143" s="25">
        <f>4675+85</f>
        <v>4760</v>
      </c>
      <c r="G143" s="49">
        <f t="shared" si="26"/>
        <v>25977</v>
      </c>
      <c r="H143" s="5">
        <f>66+112+65+112</f>
        <v>355</v>
      </c>
      <c r="I143" s="49">
        <f>H143+26275+85</f>
        <v>26715</v>
      </c>
      <c r="J143" s="49">
        <f>G143-I143+516+114+53+41</f>
        <v>-14</v>
      </c>
      <c r="K143" s="25">
        <f>-30-4-10-20-9+5</f>
        <v>-68</v>
      </c>
      <c r="L143" s="50"/>
      <c r="M143" s="8"/>
      <c r="N143" s="25">
        <f>200+10</f>
        <v>210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48">
        <v>45948.0</v>
      </c>
      <c r="B144" s="39" t="s">
        <v>28</v>
      </c>
      <c r="C144" s="39">
        <v>1000.0</v>
      </c>
      <c r="D144" s="49">
        <f>sum(E144)+K144+N144+489+192</f>
        <v>8494</v>
      </c>
      <c r="E144" s="25">
        <v>7100.0</v>
      </c>
      <c r="F144" s="25">
        <v>4253.0</v>
      </c>
      <c r="G144" s="49">
        <f t="shared" si="26"/>
        <v>12747</v>
      </c>
      <c r="H144" s="5">
        <f>15+50</f>
        <v>65</v>
      </c>
      <c r="I144" s="49">
        <f>H144+12823</f>
        <v>12888</v>
      </c>
      <c r="J144" s="49">
        <f>G144-I144+23+29</f>
        <v>-89</v>
      </c>
      <c r="K144" s="25">
        <f>-10-3+76</f>
        <v>63</v>
      </c>
      <c r="L144" s="50"/>
      <c r="M144" s="8"/>
      <c r="N144" s="5">
        <f>100+10+30+60+360+30+30+10+20</f>
        <v>650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48">
        <v>45949.0</v>
      </c>
      <c r="B145" s="39" t="s">
        <v>29</v>
      </c>
      <c r="C145" s="39">
        <v>1000.0</v>
      </c>
      <c r="D145" s="49">
        <f>sum(E145)+K145+N145</f>
        <v>0</v>
      </c>
      <c r="E145" s="5">
        <v>0.0</v>
      </c>
      <c r="F145" s="5">
        <v>0.0</v>
      </c>
      <c r="G145" s="49">
        <f t="shared" si="26"/>
        <v>0</v>
      </c>
      <c r="H145" s="5">
        <v>0.0</v>
      </c>
      <c r="I145" s="49">
        <f>H145+0</f>
        <v>0</v>
      </c>
      <c r="J145" s="49">
        <f t="shared" ref="J145:J149" si="27">G145-I145</f>
        <v>0</v>
      </c>
      <c r="K145" s="5">
        <v>0.0</v>
      </c>
      <c r="L145" s="50"/>
      <c r="M145" s="8"/>
      <c r="N145" s="5">
        <v>0.0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48">
        <v>45950.0</v>
      </c>
      <c r="B146" s="39" t="s">
        <v>30</v>
      </c>
      <c r="C146" s="39">
        <v>1000.0</v>
      </c>
      <c r="D146" s="49">
        <f>sum(E146)+K146+N146-468</f>
        <v>5912</v>
      </c>
      <c r="E146" s="25">
        <v>6400.0</v>
      </c>
      <c r="F146" s="25">
        <v>1639.0</v>
      </c>
      <c r="G146" s="49">
        <f t="shared" si="26"/>
        <v>7551</v>
      </c>
      <c r="H146" s="25">
        <v>12.0</v>
      </c>
      <c r="I146" s="49">
        <f>H146+7485</f>
        <v>7497</v>
      </c>
      <c r="J146" s="49">
        <f t="shared" si="27"/>
        <v>54</v>
      </c>
      <c r="K146" s="25">
        <f>-2-30+52-50</f>
        <v>-30</v>
      </c>
      <c r="L146" s="50"/>
      <c r="M146" s="8"/>
      <c r="N146" s="25">
        <v>10.0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48">
        <v>45951.0</v>
      </c>
      <c r="B147" s="39" t="s">
        <v>32</v>
      </c>
      <c r="C147" s="39">
        <v>1000.0</v>
      </c>
      <c r="D147" s="49">
        <f>sum(E147)+K147+N147+2249</f>
        <v>10153</v>
      </c>
      <c r="E147" s="25">
        <v>7900.0</v>
      </c>
      <c r="F147" s="25">
        <f>7152+38</f>
        <v>7190</v>
      </c>
      <c r="G147" s="49">
        <f t="shared" si="26"/>
        <v>17343</v>
      </c>
      <c r="H147" s="5">
        <f>41+185+50</f>
        <v>276</v>
      </c>
      <c r="I147" s="49">
        <f>H147+16882</f>
        <v>17158</v>
      </c>
      <c r="J147" s="49">
        <f t="shared" si="27"/>
        <v>185</v>
      </c>
      <c r="K147" s="25">
        <f>-14-10-20+68+20-50</f>
        <v>-6</v>
      </c>
      <c r="L147" s="50"/>
      <c r="M147" s="8"/>
      <c r="N147" s="5">
        <f>10</f>
        <v>10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48">
        <v>45952.0</v>
      </c>
      <c r="B148" s="39" t="s">
        <v>33</v>
      </c>
      <c r="C148" s="39">
        <v>1000.0</v>
      </c>
      <c r="D148" s="49">
        <f>sum(E148)+K148+N148+1216</f>
        <v>8460</v>
      </c>
      <c r="E148" s="25">
        <f>5500+1500</f>
        <v>7000</v>
      </c>
      <c r="F148" s="25">
        <v>1924.0</v>
      </c>
      <c r="G148" s="49">
        <f t="shared" si="26"/>
        <v>10384</v>
      </c>
      <c r="H148" s="5">
        <f>27+224</f>
        <v>251</v>
      </c>
      <c r="I148" s="49">
        <f>H148+10185</f>
        <v>10436</v>
      </c>
      <c r="J148" s="49">
        <f t="shared" si="27"/>
        <v>-52</v>
      </c>
      <c r="K148" s="25">
        <f>-3-40+147</f>
        <v>104</v>
      </c>
      <c r="L148" s="50"/>
      <c r="M148" s="8"/>
      <c r="N148" s="25">
        <f>100+30+10</f>
        <v>140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48">
        <v>45953.0</v>
      </c>
      <c r="B149" s="39" t="s">
        <v>25</v>
      </c>
      <c r="C149" s="39">
        <v>1000.0</v>
      </c>
      <c r="D149" s="49">
        <f>sum(E149)+K149+N149+1351+300</f>
        <v>7027</v>
      </c>
      <c r="E149" s="25">
        <v>5300.0</v>
      </c>
      <c r="F149" s="25">
        <v>3719.0</v>
      </c>
      <c r="G149" s="49">
        <f t="shared" si="26"/>
        <v>10746</v>
      </c>
      <c r="H149" s="25">
        <v>20.0</v>
      </c>
      <c r="I149" s="49">
        <f>H149+10750</f>
        <v>10770</v>
      </c>
      <c r="J149" s="49">
        <f t="shared" si="27"/>
        <v>-24</v>
      </c>
      <c r="K149" s="5">
        <f>-5+56-40+60-10+5</f>
        <v>66</v>
      </c>
      <c r="L149" s="50"/>
      <c r="M149" s="8"/>
      <c r="N149" s="25">
        <v>10.0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48">
        <v>45954.0</v>
      </c>
      <c r="B150" s="39" t="s">
        <v>27</v>
      </c>
      <c r="C150" s="39">
        <v>1000.0</v>
      </c>
      <c r="D150" s="49">
        <f>sum(E150)+K150+N150-230-25</f>
        <v>13479</v>
      </c>
      <c r="E150" s="25">
        <v>12600.0</v>
      </c>
      <c r="F150" s="25">
        <v>4066.0</v>
      </c>
      <c r="G150" s="49">
        <f t="shared" si="26"/>
        <v>17545</v>
      </c>
      <c r="H150" s="5">
        <f>289+20</f>
        <v>309</v>
      </c>
      <c r="I150" s="49">
        <f>H150+16990</f>
        <v>17299</v>
      </c>
      <c r="J150" s="49">
        <f>G150-I150+33+20</f>
        <v>299</v>
      </c>
      <c r="K150" s="5">
        <f>-3-30-10-10+87+100</f>
        <v>134</v>
      </c>
      <c r="L150" s="38" t="s">
        <v>104</v>
      </c>
      <c r="M150" s="8"/>
      <c r="N150" s="25">
        <v>1000.0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48">
        <v>45955.0</v>
      </c>
      <c r="B151" s="39" t="s">
        <v>28</v>
      </c>
      <c r="C151" s="39">
        <v>1000.0</v>
      </c>
      <c r="D151" s="49">
        <f>sum(E151)+K151+N151+1185-1235</f>
        <v>8527</v>
      </c>
      <c r="E151" s="25">
        <v>8400.0</v>
      </c>
      <c r="F151" s="25">
        <v>10457.0</v>
      </c>
      <c r="G151" s="49">
        <f t="shared" si="26"/>
        <v>18984</v>
      </c>
      <c r="H151" s="5">
        <f>55+24+224+1648+60</f>
        <v>2011</v>
      </c>
      <c r="I151" s="49">
        <f>H151+16747</f>
        <v>18758</v>
      </c>
      <c r="J151" s="49">
        <f>G151-I151+26+41+110+26+68</f>
        <v>497</v>
      </c>
      <c r="K151" s="5">
        <f>-10-10-20-6-20-20+58-5+10</f>
        <v>-23</v>
      </c>
      <c r="L151" s="43" t="s">
        <v>105</v>
      </c>
      <c r="M151" s="8"/>
      <c r="N151" s="25">
        <f>10+110+50+10+20</f>
        <v>200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48">
        <v>45956.0</v>
      </c>
      <c r="B152" s="39" t="s">
        <v>29</v>
      </c>
      <c r="C152" s="39">
        <v>1000.0</v>
      </c>
      <c r="D152" s="49">
        <f>sum(E152)+K152+N152</f>
        <v>0</v>
      </c>
      <c r="E152" s="5">
        <v>0.0</v>
      </c>
      <c r="F152" s="5">
        <v>0.0</v>
      </c>
      <c r="G152" s="49">
        <f t="shared" si="26"/>
        <v>0</v>
      </c>
      <c r="H152" s="5">
        <v>0.0</v>
      </c>
      <c r="I152" s="49">
        <f>H152+0</f>
        <v>0</v>
      </c>
      <c r="J152" s="49">
        <f>G152-I152</f>
        <v>0</v>
      </c>
      <c r="K152" s="5">
        <v>0.0</v>
      </c>
      <c r="L152" s="50"/>
      <c r="M152" s="8"/>
      <c r="N152" s="25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48">
        <v>45957.0</v>
      </c>
      <c r="B153" s="39" t="s">
        <v>30</v>
      </c>
      <c r="C153" s="39">
        <v>1000.0</v>
      </c>
      <c r="D153" s="49">
        <f>sum(E153)+K153+N153+947</f>
        <v>12573</v>
      </c>
      <c r="E153" s="25">
        <v>10900.0</v>
      </c>
      <c r="F153" s="25">
        <v>8383.0</v>
      </c>
      <c r="G153" s="49">
        <f t="shared" si="26"/>
        <v>20956</v>
      </c>
      <c r="H153" s="5">
        <f>53+15+105+135</f>
        <v>308</v>
      </c>
      <c r="I153" s="49">
        <f>H153+20825</f>
        <v>21133</v>
      </c>
      <c r="J153" s="49">
        <f>G153-I153+25+26+27+25</f>
        <v>-74</v>
      </c>
      <c r="K153" s="5">
        <f>-50+16</f>
        <v>-34</v>
      </c>
      <c r="L153" s="38" t="s">
        <v>106</v>
      </c>
      <c r="M153" s="8"/>
      <c r="N153" s="5">
        <f>50+20+100+500+50+10+30</f>
        <v>760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48">
        <v>45958.0</v>
      </c>
      <c r="B154" s="39" t="s">
        <v>32</v>
      </c>
      <c r="C154" s="39">
        <v>1000.0</v>
      </c>
      <c r="D154" s="49">
        <f>sum(E154+K154+N154)+1087</f>
        <v>12022</v>
      </c>
      <c r="E154" s="25">
        <v>11000.0</v>
      </c>
      <c r="F154" s="25">
        <v>6329.0</v>
      </c>
      <c r="G154" s="49">
        <f t="shared" si="26"/>
        <v>18351</v>
      </c>
      <c r="H154" s="5">
        <f>112+99+49</f>
        <v>260</v>
      </c>
      <c r="I154" s="49">
        <f>H154+18820</f>
        <v>19080</v>
      </c>
      <c r="J154" s="49">
        <f>G154-I154+114+75</f>
        <v>-540</v>
      </c>
      <c r="K154" s="5">
        <f>-5-20-20-100</f>
        <v>-145</v>
      </c>
      <c r="L154" s="38" t="s">
        <v>107</v>
      </c>
      <c r="M154" s="8"/>
      <c r="N154" s="25">
        <f>50+20+10</f>
        <v>80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48">
        <v>45959.0</v>
      </c>
      <c r="B155" s="39" t="s">
        <v>33</v>
      </c>
      <c r="C155" s="39">
        <v>1000.0</v>
      </c>
      <c r="D155" s="49">
        <f>sum(E155+K155+N155)</f>
        <v>9370</v>
      </c>
      <c r="E155" s="25">
        <v>9200.0</v>
      </c>
      <c r="F155" s="25">
        <v>7433.0</v>
      </c>
      <c r="G155" s="49">
        <f t="shared" si="26"/>
        <v>16803</v>
      </c>
      <c r="H155" s="5">
        <f>31+224+109</f>
        <v>364</v>
      </c>
      <c r="I155" s="49">
        <f>H155+16185</f>
        <v>16549</v>
      </c>
      <c r="J155" s="49">
        <f>G155-I155+70+20</f>
        <v>344</v>
      </c>
      <c r="K155" s="55">
        <f>40</f>
        <v>40</v>
      </c>
      <c r="L155" s="38" t="s">
        <v>108</v>
      </c>
      <c r="M155" s="8"/>
      <c r="N155" s="25">
        <f>120+10</f>
        <v>130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48">
        <v>45960.0</v>
      </c>
      <c r="B156" s="39" t="s">
        <v>25</v>
      </c>
      <c r="C156" s="39">
        <v>1000.0</v>
      </c>
      <c r="D156" s="49">
        <f>sum(E156)+K156+N156</f>
        <v>12630</v>
      </c>
      <c r="E156" s="25">
        <v>12600.0</v>
      </c>
      <c r="F156" s="25">
        <v>6810.0</v>
      </c>
      <c r="G156" s="49">
        <f t="shared" si="26"/>
        <v>19440</v>
      </c>
      <c r="H156" s="25">
        <f>62+224+24+116+116+116</f>
        <v>658</v>
      </c>
      <c r="I156" s="49">
        <f>H156+18822</f>
        <v>19480</v>
      </c>
      <c r="J156" s="49">
        <f t="shared" ref="J156:J157" si="28">G156-I156</f>
        <v>-40</v>
      </c>
      <c r="K156" s="5">
        <f>-40</f>
        <v>-40</v>
      </c>
      <c r="L156" s="38" t="s">
        <v>109</v>
      </c>
      <c r="M156" s="8"/>
      <c r="N156" s="5">
        <f>20+50</f>
        <v>70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48">
        <v>45961.0</v>
      </c>
      <c r="B157" s="39" t="s">
        <v>27</v>
      </c>
      <c r="C157" s="39">
        <v>1000.0</v>
      </c>
      <c r="D157" s="49">
        <f>sum(E157)+K157+N157+375</f>
        <v>9618</v>
      </c>
      <c r="E157" s="25">
        <v>9200.0</v>
      </c>
      <c r="F157" s="25">
        <v>5684.0</v>
      </c>
      <c r="G157" s="49">
        <f t="shared" si="26"/>
        <v>15302</v>
      </c>
      <c r="H157" s="25">
        <f>22+62+5</f>
        <v>89</v>
      </c>
      <c r="I157" s="49">
        <f>H157+15246</f>
        <v>15335</v>
      </c>
      <c r="J157" s="49">
        <f t="shared" si="28"/>
        <v>-33</v>
      </c>
      <c r="K157" s="5">
        <f>33</f>
        <v>33</v>
      </c>
      <c r="L157" s="50"/>
      <c r="M157" s="8"/>
      <c r="N157" s="25">
        <v>10.0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5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48">
        <v>45962.0</v>
      </c>
      <c r="B159" s="39" t="s">
        <v>28</v>
      </c>
      <c r="C159" s="39">
        <v>1000.0</v>
      </c>
      <c r="D159" s="49">
        <f>sum(E159+K159+N159)+318+445-489</f>
        <v>9013</v>
      </c>
      <c r="E159" s="25">
        <v>5400.0</v>
      </c>
      <c r="F159" s="25">
        <v>5348.0</v>
      </c>
      <c r="G159" s="49">
        <f t="shared" ref="G159:G188" si="29">sum(D159,F159)</f>
        <v>14361</v>
      </c>
      <c r="H159" s="5">
        <f>10</f>
        <v>10</v>
      </c>
      <c r="I159" s="49">
        <f>H159+14469</f>
        <v>14479</v>
      </c>
      <c r="J159" s="49">
        <f>G159-I159+28+26+120</f>
        <v>56</v>
      </c>
      <c r="K159" s="5">
        <f>-5-5+104</f>
        <v>94</v>
      </c>
      <c r="L159" s="38" t="s">
        <v>110</v>
      </c>
      <c r="M159" s="8"/>
      <c r="N159" s="5">
        <f>80+30+20+3000+115</f>
        <v>3245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48">
        <v>45963.0</v>
      </c>
      <c r="B160" s="39" t="s">
        <v>29</v>
      </c>
      <c r="C160" s="39">
        <v>1000.0</v>
      </c>
      <c r="D160" s="49">
        <f>sum(E160+K160+N160)</f>
        <v>0</v>
      </c>
      <c r="E160" s="5">
        <v>0.0</v>
      </c>
      <c r="F160" s="5">
        <v>0.0</v>
      </c>
      <c r="G160" s="49">
        <f t="shared" si="29"/>
        <v>0</v>
      </c>
      <c r="H160" s="5">
        <v>0.0</v>
      </c>
      <c r="I160" s="49">
        <f>H160+0</f>
        <v>0</v>
      </c>
      <c r="J160" s="49">
        <f>G160-I160</f>
        <v>0</v>
      </c>
      <c r="K160" s="5">
        <v>0.0</v>
      </c>
      <c r="L160" s="50"/>
      <c r="M160" s="8"/>
      <c r="N160" s="5">
        <v>0.0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48">
        <v>45964.0</v>
      </c>
      <c r="B161" s="39" t="s">
        <v>30</v>
      </c>
      <c r="C161" s="39">
        <v>1000.0</v>
      </c>
      <c r="D161" s="49">
        <f>sum(E161+K161+N161)+7000+213+717+65</f>
        <v>30304</v>
      </c>
      <c r="E161" s="5">
        <f>1500</f>
        <v>1500</v>
      </c>
      <c r="F161" s="25">
        <f>11054+340</f>
        <v>11394</v>
      </c>
      <c r="G161" s="49">
        <f t="shared" si="29"/>
        <v>41698</v>
      </c>
      <c r="H161" s="25">
        <v>0.0</v>
      </c>
      <c r="I161" s="49">
        <f>H161+20586</f>
        <v>20586</v>
      </c>
      <c r="J161" s="49">
        <f>G161-I161-21500+114+84+87</f>
        <v>-103</v>
      </c>
      <c r="K161" s="25">
        <f>258+296</f>
        <v>554</v>
      </c>
      <c r="L161" s="38" t="s">
        <v>111</v>
      </c>
      <c r="M161" s="8"/>
      <c r="N161" s="25">
        <f>7000+8000+5000+125+50+60+20</f>
        <v>20255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57">
        <v>45965.0</v>
      </c>
      <c r="B162" s="58" t="s">
        <v>32</v>
      </c>
      <c r="C162" s="58">
        <v>1000.0</v>
      </c>
      <c r="D162" s="59">
        <f>sum(E162+K162+N162)+1055-120</f>
        <v>10306</v>
      </c>
      <c r="E162" s="60">
        <v>2800.0</v>
      </c>
      <c r="F162" s="60">
        <v>9657.0</v>
      </c>
      <c r="G162" s="59">
        <f t="shared" si="29"/>
        <v>19963</v>
      </c>
      <c r="H162" s="60">
        <v>20.0</v>
      </c>
      <c r="I162" s="59">
        <f>H162+20195</f>
        <v>20215</v>
      </c>
      <c r="J162" s="59">
        <f>G162-I162+110+124+25</f>
        <v>7</v>
      </c>
      <c r="K162" s="61">
        <f>+41+40</f>
        <v>81</v>
      </c>
      <c r="L162" s="62"/>
      <c r="M162" s="8"/>
      <c r="N162" s="60">
        <f>50+10+5000+500+50+30+890-40</f>
        <v>6490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48">
        <v>45966.0</v>
      </c>
      <c r="B163" s="39" t="s">
        <v>33</v>
      </c>
      <c r="C163" s="39">
        <v>1000.0</v>
      </c>
      <c r="D163" s="49">
        <f>sum(E163+K163+N163)-120</f>
        <v>7647</v>
      </c>
      <c r="E163" s="25">
        <v>7400.0</v>
      </c>
      <c r="F163" s="25">
        <v>5926.0</v>
      </c>
      <c r="G163" s="49">
        <f t="shared" si="29"/>
        <v>13573</v>
      </c>
      <c r="H163" s="25">
        <f>37+62+224+188+30+30+30+50</f>
        <v>651</v>
      </c>
      <c r="I163" s="49">
        <f>H163+12802</f>
        <v>13453</v>
      </c>
      <c r="J163" s="49">
        <f>G163-I163+42</f>
        <v>162</v>
      </c>
      <c r="K163" s="5">
        <f>-50-20-5+82+50+60+50+20</f>
        <v>187</v>
      </c>
      <c r="L163" s="50"/>
      <c r="M163" s="8"/>
      <c r="N163" s="25">
        <f>100+60+20</f>
        <v>180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48">
        <v>45967.0</v>
      </c>
      <c r="B164" s="39" t="s">
        <v>25</v>
      </c>
      <c r="C164" s="39">
        <v>1000.0</v>
      </c>
      <c r="D164" s="49">
        <f>sum(E164+K164+N164)</f>
        <v>9529</v>
      </c>
      <c r="E164" s="25">
        <v>9000.0</v>
      </c>
      <c r="F164" s="25">
        <v>5494.0</v>
      </c>
      <c r="G164" s="49">
        <f t="shared" si="29"/>
        <v>15023</v>
      </c>
      <c r="H164" s="5">
        <f>150+112+18</f>
        <v>280</v>
      </c>
      <c r="I164" s="49">
        <f>H164+14779</f>
        <v>15059</v>
      </c>
      <c r="J164" s="49">
        <f>G164-I164</f>
        <v>-36</v>
      </c>
      <c r="K164" s="5">
        <f>-60+37-30-8</f>
        <v>-61</v>
      </c>
      <c r="L164" s="50"/>
      <c r="M164" s="8"/>
      <c r="N164" s="5">
        <f>380+50+100+40+20</f>
        <v>590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48">
        <v>45968.0</v>
      </c>
      <c r="B165" s="39" t="s">
        <v>27</v>
      </c>
      <c r="C165" s="39">
        <v>1000.0</v>
      </c>
      <c r="D165" s="49">
        <f>sum(E165+K165+N165)+1076-260-140</f>
        <v>14334</v>
      </c>
      <c r="E165" s="25">
        <v>13500.0</v>
      </c>
      <c r="F165" s="25">
        <v>6923.0</v>
      </c>
      <c r="G165" s="49">
        <f t="shared" si="29"/>
        <v>21257</v>
      </c>
      <c r="H165" s="25">
        <f>41+69+150</f>
        <v>260</v>
      </c>
      <c r="I165" s="49">
        <f>H165+21328</f>
        <v>21588</v>
      </c>
      <c r="J165" s="49">
        <f>G165-I165+114</f>
        <v>-217</v>
      </c>
      <c r="K165" s="5">
        <f>-5-2-10+125</f>
        <v>108</v>
      </c>
      <c r="L165" s="50"/>
      <c r="M165" s="8"/>
      <c r="N165" s="5">
        <f>50</f>
        <v>50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48">
        <v>45969.0</v>
      </c>
      <c r="B166" s="39" t="s">
        <v>28</v>
      </c>
      <c r="C166" s="39">
        <v>1000.0</v>
      </c>
      <c r="D166" s="49">
        <f t="shared" ref="D166:D167" si="30">sum(E166+K166+N166)</f>
        <v>11716</v>
      </c>
      <c r="E166" s="25">
        <v>11500.0</v>
      </c>
      <c r="F166" s="25">
        <v>6016.0</v>
      </c>
      <c r="G166" s="49">
        <f t="shared" si="29"/>
        <v>17732</v>
      </c>
      <c r="H166" s="25">
        <f>52+95+113+22+25+99+25</f>
        <v>431</v>
      </c>
      <c r="I166" s="49">
        <f>H166+17215</f>
        <v>17646</v>
      </c>
      <c r="J166" s="49">
        <f>G166-I166+228</f>
        <v>314</v>
      </c>
      <c r="K166" s="5">
        <f>-20-5+121</f>
        <v>96</v>
      </c>
      <c r="L166" s="50"/>
      <c r="M166" s="8"/>
      <c r="N166" s="5">
        <f>100+20</f>
        <v>120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48">
        <v>45970.0</v>
      </c>
      <c r="B167" s="39" t="s">
        <v>29</v>
      </c>
      <c r="C167" s="39">
        <v>1000.0</v>
      </c>
      <c r="D167" s="49">
        <f t="shared" si="30"/>
        <v>480</v>
      </c>
      <c r="E167" s="25">
        <v>480.0</v>
      </c>
      <c r="F167" s="25">
        <v>3450.0</v>
      </c>
      <c r="G167" s="49">
        <f t="shared" si="29"/>
        <v>3930</v>
      </c>
      <c r="H167" s="25">
        <v>1590.0</v>
      </c>
      <c r="I167" s="49">
        <f>H167+2193</f>
        <v>3783</v>
      </c>
      <c r="J167" s="49">
        <f>G167-I167</f>
        <v>147</v>
      </c>
      <c r="K167" s="5">
        <v>0.0</v>
      </c>
      <c r="L167" s="50"/>
      <c r="M167" s="8"/>
      <c r="N167" s="5">
        <v>0.0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48">
        <v>45971.0</v>
      </c>
      <c r="B168" s="39" t="s">
        <v>30</v>
      </c>
      <c r="C168" s="39">
        <v>1000.0</v>
      </c>
      <c r="D168" s="49">
        <f>sum(E168+K168+N168)-215-102-25+216+178</f>
        <v>17024</v>
      </c>
      <c r="E168" s="25">
        <f>16700-1500</f>
        <v>15200</v>
      </c>
      <c r="F168" s="25">
        <v>7688.0</v>
      </c>
      <c r="G168" s="49">
        <f t="shared" si="29"/>
        <v>24712</v>
      </c>
      <c r="H168" s="5">
        <f>64+23+224+25+25+25+25+50+50</f>
        <v>511</v>
      </c>
      <c r="I168" s="49">
        <f>H168+24323</f>
        <v>24834</v>
      </c>
      <c r="J168" s="49">
        <f>G168-I168+123</f>
        <v>1</v>
      </c>
      <c r="K168" s="5">
        <f>-10-10+70+1500</f>
        <v>1550</v>
      </c>
      <c r="L168" s="38" t="s">
        <v>112</v>
      </c>
      <c r="M168" s="8"/>
      <c r="N168" s="25">
        <v>222.0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48">
        <v>45972.0</v>
      </c>
      <c r="B169" s="39" t="s">
        <v>32</v>
      </c>
      <c r="C169" s="39">
        <v>1000.0</v>
      </c>
      <c r="D169" s="49">
        <f>sum(E169+K169+N169)-180</f>
        <v>10660</v>
      </c>
      <c r="E169" s="25">
        <f>8100+2800</f>
        <v>10900</v>
      </c>
      <c r="F169" s="25">
        <f>7919+98</f>
        <v>8017</v>
      </c>
      <c r="G169" s="49">
        <f t="shared" si="29"/>
        <v>18677</v>
      </c>
      <c r="H169" s="5">
        <f>50+186+50+25+50+755</f>
        <v>1116</v>
      </c>
      <c r="I169" s="49">
        <f>H169+17686</f>
        <v>18802</v>
      </c>
      <c r="J169" s="49">
        <f>G169-I169+60</f>
        <v>-65</v>
      </c>
      <c r="K169" s="5">
        <f>-20-20-40-20-30</f>
        <v>-130</v>
      </c>
      <c r="L169" s="38" t="s">
        <v>113</v>
      </c>
      <c r="M169" s="8"/>
      <c r="N169" s="5">
        <f>50+20</f>
        <v>70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48">
        <v>45973.0</v>
      </c>
      <c r="B170" s="39" t="s">
        <v>33</v>
      </c>
      <c r="C170" s="39">
        <v>1000.0</v>
      </c>
      <c r="D170" s="49">
        <f>sum(E170+K170+N170)-210</f>
        <v>12766</v>
      </c>
      <c r="E170" s="25">
        <v>12800.0</v>
      </c>
      <c r="F170" s="25">
        <v>5856.0</v>
      </c>
      <c r="G170" s="49">
        <f t="shared" si="29"/>
        <v>18622</v>
      </c>
      <c r="H170" s="5">
        <f>25+50+25+50+265</f>
        <v>415</v>
      </c>
      <c r="I170" s="49">
        <f>H170+18068</f>
        <v>18483</v>
      </c>
      <c r="J170" s="49">
        <f>G170-I170</f>
        <v>139</v>
      </c>
      <c r="K170" s="5">
        <f>156-60</f>
        <v>96</v>
      </c>
      <c r="L170" s="50"/>
      <c r="M170" s="8"/>
      <c r="N170" s="5">
        <f>80</f>
        <v>80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48">
        <v>45974.0</v>
      </c>
      <c r="B171" s="39" t="s">
        <v>25</v>
      </c>
      <c r="C171" s="39">
        <v>1000.0</v>
      </c>
      <c r="D171" s="49">
        <f>sum(E171+K171+N171)+189</f>
        <v>15110</v>
      </c>
      <c r="E171" s="25">
        <v>14700.0</v>
      </c>
      <c r="F171" s="25">
        <v>4263.0</v>
      </c>
      <c r="G171" s="49">
        <f t="shared" si="29"/>
        <v>19373</v>
      </c>
      <c r="H171" s="25">
        <v>123.0</v>
      </c>
      <c r="I171" s="49">
        <f>H171+19530</f>
        <v>19653</v>
      </c>
      <c r="J171" s="49">
        <f>G171-I171+123+36+26</f>
        <v>-95</v>
      </c>
      <c r="K171" s="5">
        <f>71</f>
        <v>71</v>
      </c>
      <c r="L171" s="50"/>
      <c r="M171" s="8"/>
      <c r="N171" s="5">
        <f>40+40+20+50</f>
        <v>150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48">
        <v>45975.0</v>
      </c>
      <c r="B172" s="39" t="s">
        <v>27</v>
      </c>
      <c r="C172" s="39">
        <v>1000.0</v>
      </c>
      <c r="D172" s="49">
        <f>sum(E172+K172+N172)</f>
        <v>10859</v>
      </c>
      <c r="E172" s="25">
        <v>9700.0</v>
      </c>
      <c r="F172" s="25">
        <f>7174+45</f>
        <v>7219</v>
      </c>
      <c r="G172" s="49">
        <f t="shared" si="29"/>
        <v>18078</v>
      </c>
      <c r="H172" s="5">
        <f>25+215+25+25+25+50+16</f>
        <v>381</v>
      </c>
      <c r="I172" s="49">
        <f>H172+18131</f>
        <v>18512</v>
      </c>
      <c r="J172" s="49">
        <f>G172-I172+130+40</f>
        <v>-264</v>
      </c>
      <c r="K172" s="5">
        <f>64+45</f>
        <v>109</v>
      </c>
      <c r="L172" s="38" t="s">
        <v>114</v>
      </c>
      <c r="M172" s="8"/>
      <c r="N172" s="5">
        <f>300+640+20+10+40+40</f>
        <v>1050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48">
        <v>45976.0</v>
      </c>
      <c r="B173" s="39" t="s">
        <v>28</v>
      </c>
      <c r="C173" s="39">
        <v>1000.0</v>
      </c>
      <c r="D173" s="49">
        <f>sum(E173+K173+N173)+515</f>
        <v>11738</v>
      </c>
      <c r="E173" s="25">
        <v>10700.0</v>
      </c>
      <c r="F173" s="25">
        <v>6115.0</v>
      </c>
      <c r="G173" s="49">
        <f t="shared" si="29"/>
        <v>17853</v>
      </c>
      <c r="H173" s="5">
        <f>130+90+50+25+25+46</f>
        <v>366</v>
      </c>
      <c r="I173" s="49">
        <f>H173+17423</f>
        <v>17789</v>
      </c>
      <c r="J173" s="49">
        <f t="shared" ref="J173:J174" si="31">G173-I173</f>
        <v>64</v>
      </c>
      <c r="K173" s="5">
        <f>-4-10-5-50+82</f>
        <v>13</v>
      </c>
      <c r="L173" s="50"/>
      <c r="M173" s="8"/>
      <c r="N173" s="5">
        <f>40+40+20+10+350+50</f>
        <v>510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48">
        <v>45977.0</v>
      </c>
      <c r="B174" s="39" t="s">
        <v>29</v>
      </c>
      <c r="C174" s="39">
        <v>1000.0</v>
      </c>
      <c r="D174" s="49">
        <f>sum(E174+K174+N174)</f>
        <v>0</v>
      </c>
      <c r="E174" s="5">
        <v>0.0</v>
      </c>
      <c r="F174" s="5">
        <v>0.0</v>
      </c>
      <c r="G174" s="49">
        <f t="shared" si="29"/>
        <v>0</v>
      </c>
      <c r="H174" s="5">
        <v>0.0</v>
      </c>
      <c r="I174" s="49">
        <f>H174+0</f>
        <v>0</v>
      </c>
      <c r="J174" s="49">
        <f t="shared" si="31"/>
        <v>0</v>
      </c>
      <c r="K174" s="5">
        <v>0.0</v>
      </c>
      <c r="L174" s="50"/>
      <c r="M174" s="8"/>
      <c r="N174" s="5">
        <v>0.0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48">
        <v>45978.0</v>
      </c>
      <c r="B175" s="39" t="s">
        <v>30</v>
      </c>
      <c r="C175" s="39">
        <v>1000.0</v>
      </c>
      <c r="D175" s="49">
        <f>sum(E175+K175+N175)+188</f>
        <v>14023</v>
      </c>
      <c r="E175" s="25">
        <v>13700.0</v>
      </c>
      <c r="F175" s="25">
        <v>6802.0</v>
      </c>
      <c r="G175" s="49">
        <f t="shared" si="29"/>
        <v>20825</v>
      </c>
      <c r="H175" s="5">
        <f>55+93+25+23+25+25</f>
        <v>246</v>
      </c>
      <c r="I175" s="49">
        <f>H175+20321</f>
        <v>20567</v>
      </c>
      <c r="J175" s="49">
        <f>G175-I175+14</f>
        <v>272</v>
      </c>
      <c r="K175" s="25">
        <f>-105-10-5+95</f>
        <v>-25</v>
      </c>
      <c r="L175" s="50"/>
      <c r="M175" s="8"/>
      <c r="N175" s="5">
        <f>100+10+20+10+10+10</f>
        <v>160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48">
        <v>45979.0</v>
      </c>
      <c r="B176" s="39" t="s">
        <v>32</v>
      </c>
      <c r="C176" s="39">
        <v>1000.0</v>
      </c>
      <c r="D176" s="49">
        <f>sum(E176+K176+N176)+180-180-180</f>
        <v>9900</v>
      </c>
      <c r="E176" s="25">
        <v>9300.0</v>
      </c>
      <c r="F176" s="25">
        <f>4012+33</f>
        <v>4045</v>
      </c>
      <c r="G176" s="49">
        <f t="shared" si="29"/>
        <v>13945</v>
      </c>
      <c r="H176" s="5">
        <f>57+75+755+25+75</f>
        <v>987</v>
      </c>
      <c r="I176" s="49">
        <f>H176+13014+33</f>
        <v>14034</v>
      </c>
      <c r="J176" s="49">
        <f>G176-I176</f>
        <v>-89</v>
      </c>
      <c r="K176" s="5">
        <f>-4-1+80</f>
        <v>75</v>
      </c>
      <c r="L176" s="50"/>
      <c r="M176" s="8"/>
      <c r="N176" s="5">
        <f>20+280+50+15+300+40</f>
        <v>705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48">
        <v>45980.0</v>
      </c>
      <c r="B177" s="39" t="s">
        <v>33</v>
      </c>
      <c r="C177" s="39">
        <v>1000.0</v>
      </c>
      <c r="D177" s="49">
        <f>sum(E177+K177+N177)+34</f>
        <v>7580</v>
      </c>
      <c r="E177" s="25">
        <v>7300.0</v>
      </c>
      <c r="F177" s="25">
        <v>5077.0</v>
      </c>
      <c r="G177" s="49">
        <f t="shared" si="29"/>
        <v>12657</v>
      </c>
      <c r="H177" s="5">
        <f>33+10+23+25+100+23+123+23</f>
        <v>360</v>
      </c>
      <c r="I177" s="49">
        <f>H177+13098</f>
        <v>13458</v>
      </c>
      <c r="J177" s="49">
        <f>G177-I177+572+70+228</f>
        <v>69</v>
      </c>
      <c r="K177" s="5">
        <f>156</f>
        <v>156</v>
      </c>
      <c r="L177" s="50"/>
      <c r="M177" s="8"/>
      <c r="N177" s="5">
        <f>10+20+20+40</f>
        <v>90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48">
        <v>45981.0</v>
      </c>
      <c r="B178" s="39" t="s">
        <v>25</v>
      </c>
      <c r="C178" s="39">
        <v>1000.0</v>
      </c>
      <c r="D178" s="49">
        <f>sum(E178+K178+N178)+1196-2520</f>
        <v>9316</v>
      </c>
      <c r="E178" s="25">
        <v>9800.0</v>
      </c>
      <c r="F178" s="25">
        <v>8257.0</v>
      </c>
      <c r="G178" s="49">
        <f t="shared" si="29"/>
        <v>17573</v>
      </c>
      <c r="H178" s="5">
        <f>50+25+50+23+25+138+112</f>
        <v>423</v>
      </c>
      <c r="I178" s="49">
        <f>H178+17198</f>
        <v>17621</v>
      </c>
      <c r="J178" s="49">
        <f>G178-I178+114</f>
        <v>66</v>
      </c>
      <c r="K178" s="5">
        <f>-20-5-10+62</f>
        <v>27</v>
      </c>
      <c r="L178" s="38" t="s">
        <v>115</v>
      </c>
      <c r="M178" s="8"/>
      <c r="N178" s="25">
        <f>110+300+5+360+20+18</f>
        <v>813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48">
        <v>45982.0</v>
      </c>
      <c r="B179" s="39" t="s">
        <v>27</v>
      </c>
      <c r="C179" s="39">
        <v>1000.0</v>
      </c>
      <c r="D179" s="49">
        <f>sum(E179+K179+N179)+531</f>
        <v>5828</v>
      </c>
      <c r="E179" s="25">
        <v>5300.0</v>
      </c>
      <c r="F179" s="25">
        <v>5197.0</v>
      </c>
      <c r="G179" s="49">
        <f t="shared" si="29"/>
        <v>11025</v>
      </c>
      <c r="H179" s="5">
        <f>25+93+25+25+35</f>
        <v>203</v>
      </c>
      <c r="I179" s="49">
        <f>H179+10904</f>
        <v>11107</v>
      </c>
      <c r="J179" s="49">
        <f t="shared" ref="J179:J181" si="32">G179-I179</f>
        <v>-82</v>
      </c>
      <c r="K179" s="25">
        <f>-32-20-20-50-20-10+27</f>
        <v>-125</v>
      </c>
      <c r="L179" s="38" t="s">
        <v>116</v>
      </c>
      <c r="M179" s="8"/>
      <c r="N179" s="5">
        <f>50+20+52</f>
        <v>122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48">
        <v>45983.0</v>
      </c>
      <c r="B180" s="39" t="s">
        <v>28</v>
      </c>
      <c r="C180" s="39">
        <v>1000.0</v>
      </c>
      <c r="D180" s="49">
        <f>sum(E180+K180+N180)-135</f>
        <v>6035</v>
      </c>
      <c r="E180" s="25">
        <v>6000.0</v>
      </c>
      <c r="F180" s="25">
        <v>5419.0</v>
      </c>
      <c r="G180" s="49">
        <f t="shared" si="29"/>
        <v>11454</v>
      </c>
      <c r="H180" s="5">
        <f>122+75+46+126</f>
        <v>369</v>
      </c>
      <c r="I180" s="49">
        <f>H180+11026</f>
        <v>11395</v>
      </c>
      <c r="J180" s="49">
        <f t="shared" si="32"/>
        <v>59</v>
      </c>
      <c r="K180" s="5">
        <f>-3-25-5-5+58</f>
        <v>20</v>
      </c>
      <c r="L180" s="38" t="s">
        <v>117</v>
      </c>
      <c r="M180" s="8"/>
      <c r="N180" s="5">
        <f>50+100</f>
        <v>150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48">
        <v>45984.0</v>
      </c>
      <c r="B181" s="39" t="s">
        <v>29</v>
      </c>
      <c r="C181" s="39">
        <v>1000.0</v>
      </c>
      <c r="D181" s="49">
        <f>sum(E181+K181+N181)</f>
        <v>0</v>
      </c>
      <c r="E181" s="5">
        <v>0.0</v>
      </c>
      <c r="F181" s="5">
        <v>0.0</v>
      </c>
      <c r="G181" s="49">
        <f t="shared" si="29"/>
        <v>0</v>
      </c>
      <c r="H181" s="5">
        <v>0.0</v>
      </c>
      <c r="I181" s="49">
        <f>H181+0</f>
        <v>0</v>
      </c>
      <c r="J181" s="49">
        <f t="shared" si="32"/>
        <v>0</v>
      </c>
      <c r="K181" s="5">
        <v>0.0</v>
      </c>
      <c r="L181" s="50"/>
      <c r="M181" s="8"/>
      <c r="N181" s="5">
        <v>0.0</v>
      </c>
      <c r="O181" s="9"/>
      <c r="P181" s="9">
        <f>sum(I6:I198)</f>
        <v>2164347</v>
      </c>
      <c r="Q181" s="9"/>
      <c r="R181" s="9"/>
      <c r="S181" s="9"/>
      <c r="T181" s="9"/>
      <c r="U181" s="9"/>
      <c r="V181" s="9"/>
      <c r="W181" s="9"/>
      <c r="X181" s="9"/>
    </row>
    <row r="182">
      <c r="A182" s="48">
        <v>45985.0</v>
      </c>
      <c r="B182" s="39" t="s">
        <v>30</v>
      </c>
      <c r="C182" s="39">
        <v>1000.0</v>
      </c>
      <c r="D182" s="49">
        <f>sum(E182+K182+N182)+636+2550+308</f>
        <v>16331</v>
      </c>
      <c r="E182" s="5">
        <f>3100+9500</f>
        <v>12600</v>
      </c>
      <c r="F182" s="25">
        <v>6129.0</v>
      </c>
      <c r="G182" s="49">
        <f t="shared" si="29"/>
        <v>22460</v>
      </c>
      <c r="H182" s="25">
        <f>1388+45</f>
        <v>1433</v>
      </c>
      <c r="I182" s="49">
        <f>H182+21070</f>
        <v>22503</v>
      </c>
      <c r="J182" s="49">
        <f>G182-I182+70</f>
        <v>27</v>
      </c>
      <c r="K182" s="5">
        <f>57</f>
        <v>57</v>
      </c>
      <c r="L182" s="50"/>
      <c r="M182" s="8"/>
      <c r="N182" s="5">
        <f>60+20+10+40+50</f>
        <v>180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48">
        <v>45986.0</v>
      </c>
      <c r="B183" s="39" t="s">
        <v>32</v>
      </c>
      <c r="C183" s="39">
        <v>1000.0</v>
      </c>
      <c r="D183" s="49">
        <f>sum(E183+K183+N183)-120-495</f>
        <v>7011</v>
      </c>
      <c r="E183" s="25">
        <v>7100.0</v>
      </c>
      <c r="F183" s="25">
        <f>6034+253</f>
        <v>6287</v>
      </c>
      <c r="G183" s="49">
        <f t="shared" si="29"/>
        <v>13298</v>
      </c>
      <c r="H183" s="5">
        <f>150+100+96+50+25+38+39+46+120+55</f>
        <v>719</v>
      </c>
      <c r="I183" s="49">
        <f>H183+12291+253</f>
        <v>13263</v>
      </c>
      <c r="J183" s="49">
        <f>G183-I183</f>
        <v>35</v>
      </c>
      <c r="K183" s="25">
        <f>-7+91</f>
        <v>84</v>
      </c>
      <c r="L183" s="38" t="s">
        <v>118</v>
      </c>
      <c r="M183" s="8"/>
      <c r="N183" s="5">
        <f>300+72+20+50</f>
        <v>442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48">
        <v>45987.0</v>
      </c>
      <c r="B184" s="39" t="s">
        <v>33</v>
      </c>
      <c r="C184" s="39">
        <v>1000.0</v>
      </c>
      <c r="D184" s="49">
        <f>sum(E184+K184+N184)+593</f>
        <v>10460</v>
      </c>
      <c r="E184" s="25">
        <v>9700.0</v>
      </c>
      <c r="F184" s="25">
        <v>3975.0</v>
      </c>
      <c r="G184" s="49">
        <f t="shared" si="29"/>
        <v>14435</v>
      </c>
      <c r="H184" s="5">
        <f>25+35+50+33+31+18</f>
        <v>192</v>
      </c>
      <c r="I184" s="49">
        <f>H184+14901</f>
        <v>15093</v>
      </c>
      <c r="J184" s="49">
        <f>G184-I184+557+114</f>
        <v>13</v>
      </c>
      <c r="K184" s="5">
        <f>-31-20-20-2-10-20-15+115-50+160</f>
        <v>107</v>
      </c>
      <c r="L184" s="50"/>
      <c r="M184" s="8"/>
      <c r="N184" s="5">
        <f>50+10</f>
        <v>60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48">
        <v>45988.0</v>
      </c>
      <c r="B185" s="39" t="s">
        <v>25</v>
      </c>
      <c r="C185" s="39">
        <v>1000.0</v>
      </c>
      <c r="D185" s="49">
        <f t="shared" ref="D185:D188" si="33">sum(E185+K185+N185)</f>
        <v>9277</v>
      </c>
      <c r="E185" s="25">
        <v>9400.0</v>
      </c>
      <c r="F185" s="25">
        <v>2179.0</v>
      </c>
      <c r="G185" s="49">
        <f t="shared" si="29"/>
        <v>11456</v>
      </c>
      <c r="H185" s="5">
        <f>26+9+8</f>
        <v>43</v>
      </c>
      <c r="I185" s="49">
        <f>H185+11378</f>
        <v>11421</v>
      </c>
      <c r="J185" s="49">
        <f>G185-I185</f>
        <v>35</v>
      </c>
      <c r="K185" s="25">
        <f>-50-40-50-50-20+37+50-10</f>
        <v>-133</v>
      </c>
      <c r="L185" s="50"/>
      <c r="M185" s="8"/>
      <c r="N185" s="25">
        <v>10.0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48">
        <v>45989.0</v>
      </c>
      <c r="B186" s="39" t="s">
        <v>27</v>
      </c>
      <c r="C186" s="39">
        <v>1000.0</v>
      </c>
      <c r="D186" s="49">
        <f t="shared" si="33"/>
        <v>11826</v>
      </c>
      <c r="E186" s="25">
        <f>11400</f>
        <v>11400</v>
      </c>
      <c r="F186" s="25">
        <v>7700.0</v>
      </c>
      <c r="G186" s="49">
        <f t="shared" si="29"/>
        <v>19526</v>
      </c>
      <c r="H186" s="5">
        <f>45+75+69</f>
        <v>189</v>
      </c>
      <c r="I186" s="49">
        <f>H186+19556</f>
        <v>19745</v>
      </c>
      <c r="J186" s="49">
        <f>G186-I186+229</f>
        <v>10</v>
      </c>
      <c r="K186" s="25">
        <f>-20-5-7-2-20</f>
        <v>-54</v>
      </c>
      <c r="L186" s="50"/>
      <c r="M186" s="8"/>
      <c r="N186" s="5">
        <f>460+20</f>
        <v>480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48">
        <v>45990.0</v>
      </c>
      <c r="B187" s="39" t="s">
        <v>28</v>
      </c>
      <c r="C187" s="39">
        <v>1000.0</v>
      </c>
      <c r="D187" s="49">
        <f t="shared" si="33"/>
        <v>8641</v>
      </c>
      <c r="E187" s="25">
        <v>8000.0</v>
      </c>
      <c r="F187" s="25">
        <v>10349.0</v>
      </c>
      <c r="G187" s="49">
        <f t="shared" si="29"/>
        <v>18990</v>
      </c>
      <c r="H187" s="5">
        <f>26+295+56</f>
        <v>377</v>
      </c>
      <c r="I187" s="49">
        <f>H187+18814</f>
        <v>19191</v>
      </c>
      <c r="J187" s="49">
        <f>G187-I187+59+126</f>
        <v>-16</v>
      </c>
      <c r="K187" s="5">
        <f>141-100</f>
        <v>41</v>
      </c>
      <c r="L187" s="50"/>
      <c r="M187" s="8"/>
      <c r="N187" s="25">
        <v>600.0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48">
        <v>45991.0</v>
      </c>
      <c r="B188" s="39" t="s">
        <v>29</v>
      </c>
      <c r="C188" s="39">
        <v>1000.0</v>
      </c>
      <c r="D188" s="49">
        <f t="shared" si="33"/>
        <v>0</v>
      </c>
      <c r="E188" s="5">
        <v>0.0</v>
      </c>
      <c r="F188" s="5">
        <v>0.0</v>
      </c>
      <c r="G188" s="49">
        <f t="shared" si="29"/>
        <v>0</v>
      </c>
      <c r="H188" s="5">
        <v>0.0</v>
      </c>
      <c r="I188" s="49">
        <f>H188+0</f>
        <v>0</v>
      </c>
      <c r="J188" s="49">
        <f>G188-I188</f>
        <v>0</v>
      </c>
      <c r="K188" s="5">
        <v>0.0</v>
      </c>
      <c r="L188" s="50"/>
      <c r="M188" s="8"/>
      <c r="N188" s="5">
        <v>0.0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5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48">
        <v>45992.0</v>
      </c>
      <c r="B190" s="39" t="s">
        <v>30</v>
      </c>
      <c r="C190" s="39">
        <v>1000.0</v>
      </c>
      <c r="D190" s="49">
        <f>sum(E190+K190+N190)+1816</f>
        <v>18136</v>
      </c>
      <c r="E190" s="25">
        <v>15200.0</v>
      </c>
      <c r="F190" s="25">
        <v>12336.0</v>
      </c>
      <c r="G190" s="49">
        <f t="shared" ref="G190:G198" si="34">sum(D190,F190)</f>
        <v>30472</v>
      </c>
      <c r="H190" s="25">
        <f>30+25+75+92+69+50+570</f>
        <v>911</v>
      </c>
      <c r="I190" s="49">
        <f>H190+29602</f>
        <v>30513</v>
      </c>
      <c r="J190" s="49">
        <f>G190-I190+138</f>
        <v>97</v>
      </c>
      <c r="K190" s="5">
        <f>-10-20-50-50-10-20+590</f>
        <v>430</v>
      </c>
      <c r="L190" s="50"/>
      <c r="M190" s="8"/>
      <c r="N190" s="5">
        <f>100+20+20+50+500</f>
        <v>690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48">
        <v>45993.0</v>
      </c>
      <c r="B191" s="39" t="s">
        <v>32</v>
      </c>
      <c r="C191" s="39">
        <v>1000.0</v>
      </c>
      <c r="D191" s="49">
        <f>sum(E191+K191+N191)-78</f>
        <v>14398</v>
      </c>
      <c r="E191" s="25">
        <v>13600.0</v>
      </c>
      <c r="F191" s="25">
        <v>10355.0</v>
      </c>
      <c r="G191" s="49">
        <f t="shared" si="34"/>
        <v>24753</v>
      </c>
      <c r="H191" s="25">
        <f>39+75+10+5+26</f>
        <v>155</v>
      </c>
      <c r="I191" s="49">
        <f>H191+24723</f>
        <v>24878</v>
      </c>
      <c r="J191" s="49">
        <f>G191-I191+107</f>
        <v>-18</v>
      </c>
      <c r="K191" s="5">
        <f>-100-50-10-40-3-1+310+200+80</f>
        <v>386</v>
      </c>
      <c r="L191" s="38" t="s">
        <v>119</v>
      </c>
      <c r="M191" s="8"/>
      <c r="N191" s="5">
        <f>30+360+100</f>
        <v>490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48">
        <v>45994.0</v>
      </c>
      <c r="B192" s="39" t="s">
        <v>33</v>
      </c>
      <c r="C192" s="39">
        <v>1000.0</v>
      </c>
      <c r="D192" s="49">
        <f>sum(E192+K192+N192)-90</f>
        <v>13315</v>
      </c>
      <c r="E192" s="25">
        <v>13700.0</v>
      </c>
      <c r="F192" s="25">
        <v>7827.0</v>
      </c>
      <c r="G192" s="49">
        <f t="shared" si="34"/>
        <v>21142</v>
      </c>
      <c r="H192" s="25">
        <f>47+56+56+10+50</f>
        <v>219</v>
      </c>
      <c r="I192" s="49">
        <f>H192+20921</f>
        <v>21140</v>
      </c>
      <c r="J192" s="49">
        <f>G192-I192+26</f>
        <v>28</v>
      </c>
      <c r="K192" s="5">
        <f>-15-20-60-10-30-30-20-50-50-20-10-20-50+20</f>
        <v>-365</v>
      </c>
      <c r="L192" s="50"/>
      <c r="M192" s="8"/>
      <c r="N192" s="5">
        <f>30+40</f>
        <v>70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48">
        <v>45995.0</v>
      </c>
      <c r="B193" s="39" t="s">
        <v>25</v>
      </c>
      <c r="C193" s="39">
        <v>1000.0</v>
      </c>
      <c r="D193" s="49">
        <f>sum(E193+K193+N193)+145</f>
        <v>8926</v>
      </c>
      <c r="E193" s="25">
        <v>6100.0</v>
      </c>
      <c r="F193" s="25">
        <v>9400.0</v>
      </c>
      <c r="G193" s="49">
        <f t="shared" si="34"/>
        <v>18326</v>
      </c>
      <c r="H193" s="5">
        <f>60+72+30</f>
        <v>162</v>
      </c>
      <c r="I193" s="49">
        <f>H193+18185</f>
        <v>18347</v>
      </c>
      <c r="J193" s="49">
        <f t="shared" ref="J193:J194" si="35">G193-I193</f>
        <v>-21</v>
      </c>
      <c r="K193" s="25">
        <f>-70-30-10-50-130-20-20-100-10-10-10-10+320</f>
        <v>-150</v>
      </c>
      <c r="L193" s="38" t="s">
        <v>120</v>
      </c>
      <c r="M193" s="8"/>
      <c r="N193" s="5">
        <f>2771+30+30</f>
        <v>2831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48">
        <v>45996.0</v>
      </c>
      <c r="B194" s="39" t="s">
        <v>27</v>
      </c>
      <c r="C194" s="39">
        <v>1000.0</v>
      </c>
      <c r="D194" s="49">
        <f>sum(E194+K194+N194)+651</f>
        <v>17214</v>
      </c>
      <c r="E194" s="25">
        <v>11100.0</v>
      </c>
      <c r="F194" s="25">
        <f>7833+1011</f>
        <v>8844</v>
      </c>
      <c r="G194" s="49">
        <f t="shared" si="34"/>
        <v>26058</v>
      </c>
      <c r="H194" s="5">
        <f>48+5+45+20+42</f>
        <v>160</v>
      </c>
      <c r="I194" s="49">
        <f>H194+24221+1011</f>
        <v>25392</v>
      </c>
      <c r="J194" s="49">
        <f t="shared" si="35"/>
        <v>666</v>
      </c>
      <c r="K194" s="5">
        <f>-50-10-15-10-10-65+85+25</f>
        <v>-50</v>
      </c>
      <c r="L194" s="38" t="s">
        <v>121</v>
      </c>
      <c r="M194" s="8"/>
      <c r="N194" s="25">
        <f>5000+493+20</f>
        <v>5513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48">
        <v>45997.0</v>
      </c>
      <c r="B195" s="39" t="s">
        <v>28</v>
      </c>
      <c r="C195" s="39">
        <v>1000.0</v>
      </c>
      <c r="D195" s="49">
        <f>sum(E195+K195+N195)-489+360+20</f>
        <v>11706</v>
      </c>
      <c r="E195" s="25">
        <v>1900.0</v>
      </c>
      <c r="F195" s="25">
        <v>7419.0</v>
      </c>
      <c r="G195" s="49">
        <f t="shared" si="34"/>
        <v>19125</v>
      </c>
      <c r="H195" s="5">
        <f>132+31</f>
        <v>163</v>
      </c>
      <c r="I195" s="49">
        <f>H195+18371</f>
        <v>18534</v>
      </c>
      <c r="J195" s="49">
        <f>G195-I195+229+229</f>
        <v>1049</v>
      </c>
      <c r="K195" s="25">
        <f>-50-40-20-60+35</f>
        <v>-135</v>
      </c>
      <c r="L195" s="38" t="s">
        <v>122</v>
      </c>
      <c r="M195" s="8"/>
      <c r="N195" s="5">
        <f>7000+50+3000</f>
        <v>10050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48">
        <v>45998.0</v>
      </c>
      <c r="B196" s="39" t="s">
        <v>29</v>
      </c>
      <c r="C196" s="39">
        <v>1000.0</v>
      </c>
      <c r="D196" s="49">
        <f t="shared" ref="D196:D197" si="36">sum(E196+K196+N196)</f>
        <v>0</v>
      </c>
      <c r="E196" s="5">
        <v>0.0</v>
      </c>
      <c r="F196" s="5">
        <v>0.0</v>
      </c>
      <c r="G196" s="49">
        <f t="shared" si="34"/>
        <v>0</v>
      </c>
      <c r="H196" s="5">
        <v>0.0</v>
      </c>
      <c r="I196" s="49">
        <f>H196+0</f>
        <v>0</v>
      </c>
      <c r="J196" s="49">
        <f>G196-I196</f>
        <v>0</v>
      </c>
      <c r="K196" s="5">
        <v>0.0</v>
      </c>
      <c r="L196" s="50"/>
      <c r="M196" s="8"/>
      <c r="N196" s="5">
        <v>0.0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48">
        <v>45999.0</v>
      </c>
      <c r="B197" s="39" t="s">
        <v>30</v>
      </c>
      <c r="C197" s="39">
        <v>1000.0</v>
      </c>
      <c r="D197" s="49">
        <f t="shared" si="36"/>
        <v>17900</v>
      </c>
      <c r="E197" s="5">
        <f>16700</f>
        <v>16700</v>
      </c>
      <c r="F197" s="25">
        <v>7115.0</v>
      </c>
      <c r="G197" s="49">
        <f t="shared" si="34"/>
        <v>25015</v>
      </c>
      <c r="H197" s="25">
        <v>40.0</v>
      </c>
      <c r="I197" s="49">
        <f>H197+25200</f>
        <v>25240</v>
      </c>
      <c r="J197" s="49">
        <f>G197-I197+32+139</f>
        <v>-54</v>
      </c>
      <c r="K197" s="25">
        <f>-80+280</f>
        <v>200</v>
      </c>
      <c r="L197" s="38" t="s">
        <v>123</v>
      </c>
      <c r="M197" s="8"/>
      <c r="N197" s="25">
        <v>1000.0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63">
        <v>46000.0</v>
      </c>
      <c r="B198" s="64" t="s">
        <v>32</v>
      </c>
      <c r="C198" s="64">
        <v>1000.0</v>
      </c>
      <c r="D198" s="65">
        <f>sum(E198+K198+N198)+587</f>
        <v>12653</v>
      </c>
      <c r="E198" s="66">
        <f>12000</f>
        <v>12000</v>
      </c>
      <c r="F198" s="67">
        <v>5299.0</v>
      </c>
      <c r="G198" s="65">
        <f t="shared" si="34"/>
        <v>17952</v>
      </c>
      <c r="H198" s="66">
        <f>755+50+132</f>
        <v>937</v>
      </c>
      <c r="I198" s="65">
        <f>H198+16797</f>
        <v>17734</v>
      </c>
      <c r="J198" s="65">
        <f>G198-I198</f>
        <v>218</v>
      </c>
      <c r="K198" s="66">
        <f>-10-40-40-60-100-20-20-20-60+26+200</f>
        <v>-144</v>
      </c>
      <c r="L198" s="68" t="s">
        <v>124</v>
      </c>
      <c r="M198" s="19"/>
      <c r="N198" s="66">
        <f>30+50+100+30</f>
        <v>210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69" t="s">
        <v>125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8"/>
      <c r="S199" s="9"/>
      <c r="T199" s="9"/>
      <c r="U199" s="9"/>
      <c r="V199" s="9"/>
      <c r="W199" s="9"/>
      <c r="X199" s="9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</sheetData>
  <mergeCells count="210">
    <mergeCell ref="F3:F5"/>
    <mergeCell ref="G3:G5"/>
    <mergeCell ref="H3:H5"/>
    <mergeCell ref="I3:I5"/>
    <mergeCell ref="J3:J5"/>
    <mergeCell ref="K3:K5"/>
    <mergeCell ref="D4:D5"/>
    <mergeCell ref="E4:E5"/>
    <mergeCell ref="A1:D1"/>
    <mergeCell ref="L1:M1"/>
    <mergeCell ref="A2:N2"/>
    <mergeCell ref="A3:A5"/>
    <mergeCell ref="B3:B5"/>
    <mergeCell ref="C3:C5"/>
    <mergeCell ref="D3:E3"/>
    <mergeCell ref="L4:M5"/>
    <mergeCell ref="N4:N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A31:N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60:M60"/>
    <mergeCell ref="L61:M61"/>
    <mergeCell ref="L62:M62"/>
    <mergeCell ref="A63:N63"/>
    <mergeCell ref="L53:M53"/>
    <mergeCell ref="L54:M54"/>
    <mergeCell ref="L55:M55"/>
    <mergeCell ref="L56:M56"/>
    <mergeCell ref="L57:M57"/>
    <mergeCell ref="L58:M58"/>
    <mergeCell ref="L59:M59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92:M92"/>
    <mergeCell ref="L93:M93"/>
    <mergeCell ref="L94:M94"/>
    <mergeCell ref="A95:N95"/>
    <mergeCell ref="L85:M85"/>
    <mergeCell ref="L86:M86"/>
    <mergeCell ref="L87:M87"/>
    <mergeCell ref="L88:M88"/>
    <mergeCell ref="L89:M89"/>
    <mergeCell ref="L90:M90"/>
    <mergeCell ref="L91:M91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7:M187"/>
    <mergeCell ref="L188:M188"/>
    <mergeCell ref="A189:N189"/>
    <mergeCell ref="L180:M180"/>
    <mergeCell ref="L181:M181"/>
    <mergeCell ref="L182:M182"/>
    <mergeCell ref="L183:M183"/>
    <mergeCell ref="L184:M184"/>
    <mergeCell ref="L185:M185"/>
    <mergeCell ref="L186:M186"/>
    <mergeCell ref="L197:M197"/>
    <mergeCell ref="L198:M198"/>
    <mergeCell ref="A199:R199"/>
    <mergeCell ref="L190:M190"/>
    <mergeCell ref="L191:M191"/>
    <mergeCell ref="L192:M192"/>
    <mergeCell ref="L193:M193"/>
    <mergeCell ref="L194:M194"/>
    <mergeCell ref="L195:M195"/>
    <mergeCell ref="L196:M196"/>
    <mergeCell ref="L110:M110"/>
    <mergeCell ref="L111:M111"/>
    <mergeCell ref="L112:M112"/>
    <mergeCell ref="L113:M113"/>
    <mergeCell ref="L114:M114"/>
    <mergeCell ref="L115:M115"/>
    <mergeCell ref="L116:M116"/>
    <mergeCell ref="L125:M125"/>
    <mergeCell ref="A126:N126"/>
    <mergeCell ref="L117:M117"/>
    <mergeCell ref="L118:M118"/>
    <mergeCell ref="L119:M119"/>
    <mergeCell ref="L121:M121"/>
    <mergeCell ref="L122:M122"/>
    <mergeCell ref="L123:M123"/>
    <mergeCell ref="L124:M124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55:M155"/>
    <mergeCell ref="L156:M156"/>
    <mergeCell ref="L157:M157"/>
    <mergeCell ref="A158:N158"/>
    <mergeCell ref="L159:M159"/>
    <mergeCell ref="L160:M160"/>
    <mergeCell ref="L161:M161"/>
    <mergeCell ref="L162:M162"/>
    <mergeCell ref="L163:M163"/>
    <mergeCell ref="L164:M164"/>
    <mergeCell ref="L165:M165"/>
  </mergeCells>
  <drawing r:id="rId1"/>
</worksheet>
</file>